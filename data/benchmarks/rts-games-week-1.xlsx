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ome/Library/Mobile Documents/com~apple~CloudDocs/01_Personal/DFS/runthesims-26-27/"/>
    </mc:Choice>
  </mc:AlternateContent>
  <xr:revisionPtr revIDLastSave="0" documentId="13_ncr:1_{AAFE33A9-B011-104F-A1CA-112FBFABFD6D}" xr6:coauthVersionLast="47" xr6:coauthVersionMax="47" xr10:uidLastSave="{00000000-0000-0000-0000-000000000000}"/>
  <bookViews>
    <workbookView xWindow="31640" yWindow="2220" windowWidth="28040" windowHeight="17180" activeTab="1" xr2:uid="{CA9FC389-AC69-CB41-AB31-360FFF4A3C94}"/>
  </bookViews>
  <sheets>
    <sheet name="Players" sheetId="2" r:id="rId1"/>
    <sheet name="Teams" sheetId="3" r:id="rId2"/>
    <sheet name="Data Sources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424" i="2" l="1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423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Justin</author>
  </authors>
  <commentList>
    <comment ref="A1" authorId="0" shapeId="0" xr:uid="{E210F79E-FB9E-B34D-977B-1D7256B0E554}">
      <text>
        <r>
          <rPr>
            <b/>
            <sz val="10"/>
            <color rgb="FF000000"/>
            <rFont val="Tahoma"/>
            <family val="2"/>
          </rPr>
          <t>Justin:</t>
        </r>
        <r>
          <rPr>
            <sz val="10"/>
            <color rgb="FF000000"/>
            <rFont val="Tahoma"/>
            <family val="2"/>
          </rPr>
          <t xml:space="preserve">
Source: DFS projections export (site not stated), 421 rows, written 2026-09-12. Pasted into chat by user; not run by Claude. Full request and parsing notes on the Data Sources tab.</t>
        </r>
      </text>
    </comment>
  </commentList>
</comments>
</file>

<file path=xl/sharedStrings.xml><?xml version="1.0" encoding="utf-8"?>
<sst xmlns="http://schemas.openxmlformats.org/spreadsheetml/2006/main" count="2388" uniqueCount="652">
  <si>
    <t>Washington Commanders</t>
  </si>
  <si>
    <t>Points Scored</t>
  </si>
  <si>
    <t>Pace</t>
  </si>
  <si>
    <t>Pos</t>
  </si>
  <si>
    <t>Player</t>
  </si>
  <si>
    <t>Salary</t>
  </si>
  <si>
    <t>Proj</t>
  </si>
  <si>
    <t>Catch Rate</t>
  </si>
  <si>
    <t>Int Rate</t>
  </si>
  <si>
    <t>QB</t>
  </si>
  <si>
    <t>RB</t>
  </si>
  <si>
    <t>WR</t>
  </si>
  <si>
    <t>TE</t>
  </si>
  <si>
    <t>DST</t>
  </si>
  <si>
    <t>K</t>
  </si>
  <si>
    <t>Philadelphia Eagles</t>
  </si>
  <si>
    <t>Arizona Cardinals</t>
  </si>
  <si>
    <t>Los Angeles Chargers</t>
  </si>
  <si>
    <t>CHI</t>
  </si>
  <si>
    <t>Chicago Bears</t>
  </si>
  <si>
    <t>Rush Rate</t>
  </si>
  <si>
    <t>Rush TD Ratio</t>
  </si>
  <si>
    <t>DST Salary</t>
  </si>
  <si>
    <t>Sack Rate</t>
  </si>
  <si>
    <t>Caleb Williams</t>
  </si>
  <si>
    <t>Case Keenum</t>
  </si>
  <si>
    <t>Tyson Bagent</t>
  </si>
  <si>
    <t>D'Andre Swift</t>
  </si>
  <si>
    <t>Kyle Monangai</t>
  </si>
  <si>
    <t>Roschon Johnson</t>
  </si>
  <si>
    <t>Luther Burden III</t>
  </si>
  <si>
    <t>Rome Odunze</t>
  </si>
  <si>
    <t>Kalif Raymond</t>
  </si>
  <si>
    <t>Zavion Thomas</t>
  </si>
  <si>
    <t>Jahdae Walker</t>
  </si>
  <si>
    <t>Colston Loveland</t>
  </si>
  <si>
    <t>Cole Kmet</t>
  </si>
  <si>
    <t>Sam Roush</t>
  </si>
  <si>
    <t>Cairo Santos</t>
  </si>
  <si>
    <t>CAR</t>
  </si>
  <si>
    <t>Carolina Panthers</t>
  </si>
  <si>
    <t>Bryce Young</t>
  </si>
  <si>
    <t>Kenny Pickett</t>
  </si>
  <si>
    <t>Haynes King</t>
  </si>
  <si>
    <t>Chuba Hubbard</t>
  </si>
  <si>
    <t>Jonathon Brooks</t>
  </si>
  <si>
    <t>AJ Dillon</t>
  </si>
  <si>
    <t>Tetairoa McMillan</t>
  </si>
  <si>
    <t>Jalen Coker</t>
  </si>
  <si>
    <t>Xavier Legette</t>
  </si>
  <si>
    <t>John Metchie III</t>
  </si>
  <si>
    <t>Jimmy Horn Jr.</t>
  </si>
  <si>
    <t>Brycen Tremayne</t>
  </si>
  <si>
    <t>Tommy Tremble</t>
  </si>
  <si>
    <t>Darren Waller</t>
  </si>
  <si>
    <t>Mitchell Evans</t>
  </si>
  <si>
    <t>Feleipe Franks</t>
  </si>
  <si>
    <t>Ja'Tavion Sanders</t>
  </si>
  <si>
    <t>Ryan Fitzgerald</t>
  </si>
  <si>
    <t>TB</t>
  </si>
  <si>
    <t>Tampa Bay Buccaneers</t>
  </si>
  <si>
    <t>Team</t>
  </si>
  <si>
    <t>Team Name</t>
  </si>
  <si>
    <t>Own %</t>
  </si>
  <si>
    <t>Rush Mkt Share</t>
  </si>
  <si>
    <t>Rush TD Mkt Share</t>
  </si>
  <si>
    <t>Rec Mkt Share</t>
  </si>
  <si>
    <t>Rec TD Mkt Share</t>
  </si>
  <si>
    <t>Pass Mkt Share</t>
  </si>
  <si>
    <t>WAS</t>
  </si>
  <si>
    <t>Jayden Daniels</t>
  </si>
  <si>
    <t>Marcus Mariota</t>
  </si>
  <si>
    <t>Athan Kaliakmanis</t>
  </si>
  <si>
    <t>Jacory Croskey-Merritt</t>
  </si>
  <si>
    <t>Rachaad White</t>
  </si>
  <si>
    <t>Kaytron Allen</t>
  </si>
  <si>
    <t>Terry McLaurin</t>
  </si>
  <si>
    <t>Stefon Diggs</t>
  </si>
  <si>
    <t>Treylon Burks</t>
  </si>
  <si>
    <t>Antonio Williams</t>
  </si>
  <si>
    <t>Luke McCaffrey</t>
  </si>
  <si>
    <t>Dyami Brown</t>
  </si>
  <si>
    <t>Jaylin Lane</t>
  </si>
  <si>
    <t>Chig Okonkwo</t>
  </si>
  <si>
    <t>John Bates</t>
  </si>
  <si>
    <t>Ben Sinnott</t>
  </si>
  <si>
    <t>Colson Yankoff</t>
  </si>
  <si>
    <t>Drew Stevens</t>
  </si>
  <si>
    <t>PHI</t>
  </si>
  <si>
    <t>Jalen Hurts</t>
  </si>
  <si>
    <t>Andy Dalton</t>
  </si>
  <si>
    <t>Tanner McKee</t>
  </si>
  <si>
    <t>Cole Payton</t>
  </si>
  <si>
    <t>Saquon Barkley</t>
  </si>
  <si>
    <t>Tank Bigsby</t>
  </si>
  <si>
    <t>Will Shipley</t>
  </si>
  <si>
    <t>DeVonta Smith</t>
  </si>
  <si>
    <t>Dontayvion Wicks</t>
  </si>
  <si>
    <t>Makai Lemon</t>
  </si>
  <si>
    <t>Hollywood Brown</t>
  </si>
  <si>
    <t>Elijah Moore</t>
  </si>
  <si>
    <t>Darius Cooper</t>
  </si>
  <si>
    <t>Dallas Goedert</t>
  </si>
  <si>
    <t>Johnny Mundt</t>
  </si>
  <si>
    <t>E.J. Jenkins</t>
  </si>
  <si>
    <t>Eli Stowers</t>
  </si>
  <si>
    <t>Jake Elliott</t>
  </si>
  <si>
    <t>GB</t>
  </si>
  <si>
    <t>Green Bay Packers</t>
  </si>
  <si>
    <t>Jordan Love</t>
  </si>
  <si>
    <t>Tyrod Taylor</t>
  </si>
  <si>
    <t>MarShawn Lloyd</t>
  </si>
  <si>
    <t>Chris Brooks</t>
  </si>
  <si>
    <t>Kaleb Johnson</t>
  </si>
  <si>
    <t>Josh Jacobs</t>
  </si>
  <si>
    <t>Christian Watson</t>
  </si>
  <si>
    <t>Jayden Reed</t>
  </si>
  <si>
    <t>Matthew Golden</t>
  </si>
  <si>
    <t>Bo Melton</t>
  </si>
  <si>
    <t>Skyy Moore</t>
  </si>
  <si>
    <t>J. Michael Sturdivant</t>
  </si>
  <si>
    <t>Tucker Kraft</t>
  </si>
  <si>
    <t>Jonnu Smith</t>
  </si>
  <si>
    <t>Josh Whyle</t>
  </si>
  <si>
    <t>Luke Musgrave</t>
  </si>
  <si>
    <t>Mark Redman</t>
  </si>
  <si>
    <t>Trey Smack</t>
  </si>
  <si>
    <t>MIN</t>
  </si>
  <si>
    <t>Minnesota Vikings</t>
  </si>
  <si>
    <t>Kyler Murray</t>
  </si>
  <si>
    <t>Carson Wentz</t>
  </si>
  <si>
    <t>J.J. McCarthy</t>
  </si>
  <si>
    <t>Jordan Mason</t>
  </si>
  <si>
    <t>Aaron Jones Sr.</t>
  </si>
  <si>
    <t>Demond Claiborne</t>
  </si>
  <si>
    <t>Max Bredeson</t>
  </si>
  <si>
    <t>Justin Jefferson</t>
  </si>
  <si>
    <t>Jordan Addison</t>
  </si>
  <si>
    <t>Jauan Jennings</t>
  </si>
  <si>
    <t>Tai Felton</t>
  </si>
  <si>
    <t>Jeshaun Jones</t>
  </si>
  <si>
    <t>Myles Price</t>
  </si>
  <si>
    <t>T.J. Hockenson</t>
  </si>
  <si>
    <t>Josh Oliver</t>
  </si>
  <si>
    <t>Ben Yurosek</t>
  </si>
  <si>
    <t>Gavin Bartholomew</t>
  </si>
  <si>
    <t>Will Reichard</t>
  </si>
  <si>
    <t>MIA</t>
  </si>
  <si>
    <t>Miami Dolphins</t>
  </si>
  <si>
    <t>Malik Willis</t>
  </si>
  <si>
    <t>Brady Cook</t>
  </si>
  <si>
    <t>Kyle McCord</t>
  </si>
  <si>
    <t>De'Von Achane</t>
  </si>
  <si>
    <t>Jaylen Wright</t>
  </si>
  <si>
    <t>Ollie Gordon II</t>
  </si>
  <si>
    <t>DJ Herman</t>
  </si>
  <si>
    <t>Malik Washington</t>
  </si>
  <si>
    <t>Caleb Douglas</t>
  </si>
  <si>
    <t>Jalen Tolbert</t>
  </si>
  <si>
    <t>Ryan Miller</t>
  </si>
  <si>
    <t>Kevin Coleman Jr.</t>
  </si>
  <si>
    <t>Greg Dulcich</t>
  </si>
  <si>
    <t>Will Kacmarek</t>
  </si>
  <si>
    <t>Seydou Traore</t>
  </si>
  <si>
    <t>Justin Joly</t>
  </si>
  <si>
    <t>Riley Patterson</t>
  </si>
  <si>
    <t>LV</t>
  </si>
  <si>
    <t>Las Vegas Raiders</t>
  </si>
  <si>
    <t>Kirk Cousins</t>
  </si>
  <si>
    <t>Aidan O'Connell</t>
  </si>
  <si>
    <t>Fernando Mendoza</t>
  </si>
  <si>
    <t>Ashton Jeanty</t>
  </si>
  <si>
    <t>Mike Washington Jr.</t>
  </si>
  <si>
    <t>Connor Heyward</t>
  </si>
  <si>
    <t>Dylan Laube</t>
  </si>
  <si>
    <t>Tre Tucker</t>
  </si>
  <si>
    <t>Jalen Nailor</t>
  </si>
  <si>
    <t>Malik Benson</t>
  </si>
  <si>
    <t>Jack Bech</t>
  </si>
  <si>
    <t>Dareke Young</t>
  </si>
  <si>
    <t>Michael Mayer</t>
  </si>
  <si>
    <t>Ian Thomas</t>
  </si>
  <si>
    <t>Brock Bowers</t>
  </si>
  <si>
    <t>Matt Gay</t>
  </si>
  <si>
    <t>ARI</t>
  </si>
  <si>
    <t>Jacoby Brissett</t>
  </si>
  <si>
    <t>Gardner Minshew II</t>
  </si>
  <si>
    <t>Carson Beck</t>
  </si>
  <si>
    <t>Jeremiyah Love</t>
  </si>
  <si>
    <t>Tyler Allgeier</t>
  </si>
  <si>
    <t>Bam Knight</t>
  </si>
  <si>
    <t>Michael Wilson</t>
  </si>
  <si>
    <t>Marvin Harrison Jr.</t>
  </si>
  <si>
    <t>Kendrick Bourne</t>
  </si>
  <si>
    <t>Jalen Brooks</t>
  </si>
  <si>
    <t>Reggie Virgil</t>
  </si>
  <si>
    <t>Devin Duvernay</t>
  </si>
  <si>
    <t>Simi Fehoko</t>
  </si>
  <si>
    <t>Trey McBride</t>
  </si>
  <si>
    <t>Hunter Long</t>
  </si>
  <si>
    <t>Tip Reiman</t>
  </si>
  <si>
    <t>Elijah Higgins</t>
  </si>
  <si>
    <t>Chad Ryland</t>
  </si>
  <si>
    <t>LAC</t>
  </si>
  <si>
    <t>Justin Herbert</t>
  </si>
  <si>
    <t>Trey Lance</t>
  </si>
  <si>
    <t>Omarion Hampton</t>
  </si>
  <si>
    <t>Kimani Vidal</t>
  </si>
  <si>
    <t>Keaton Mitchell</t>
  </si>
  <si>
    <t>Alec Ingold</t>
  </si>
  <si>
    <t>Ladd McConkey</t>
  </si>
  <si>
    <t>Quentin Johnston</t>
  </si>
  <si>
    <t>Tre' Harris</t>
  </si>
  <si>
    <t>Brenen Thompson</t>
  </si>
  <si>
    <t>Keandre Lambert-Smith</t>
  </si>
  <si>
    <t>Derius Davis</t>
  </si>
  <si>
    <t>David Njoku</t>
  </si>
  <si>
    <t>Charlie Kolar</t>
  </si>
  <si>
    <t>Oronde Gadsden</t>
  </si>
  <si>
    <t>Cameron Dicker</t>
  </si>
  <si>
    <t>NYJ</t>
  </si>
  <si>
    <t>New York Jets</t>
  </si>
  <si>
    <t>Geno Smith</t>
  </si>
  <si>
    <t>Cade Klubnik</t>
  </si>
  <si>
    <t>Breece Hall</t>
  </si>
  <si>
    <t>Braelon Allen</t>
  </si>
  <si>
    <t>Isaiah Davis</t>
  </si>
  <si>
    <t>Kene Nwangwu</t>
  </si>
  <si>
    <t>Andrew Beck</t>
  </si>
  <si>
    <t>Garrett Wilson</t>
  </si>
  <si>
    <t>Adonai Mitchell</t>
  </si>
  <si>
    <t>Omar Cooper Jr.</t>
  </si>
  <si>
    <t>Isaiah Williams</t>
  </si>
  <si>
    <t>Tim Patrick</t>
  </si>
  <si>
    <t>Arian Smith</t>
  </si>
  <si>
    <t>Mason Taylor</t>
  </si>
  <si>
    <t>Kenyon Sadiq</t>
  </si>
  <si>
    <t>Jeremy Ruckert</t>
  </si>
  <si>
    <t>Jelani Woods</t>
  </si>
  <si>
    <t>TEN</t>
  </si>
  <si>
    <t>Tennessee Titans</t>
  </si>
  <si>
    <t>Cam Ward</t>
  </si>
  <si>
    <t>Mitchell Trubisky</t>
  </si>
  <si>
    <t>Tony Pollard</t>
  </si>
  <si>
    <t>Tyjae Spears</t>
  </si>
  <si>
    <t>Nicholas Singleton</t>
  </si>
  <si>
    <t>Julius Chestnut</t>
  </si>
  <si>
    <t>Wan'Dale Robinson</t>
  </si>
  <si>
    <t>Carnell Tate</t>
  </si>
  <si>
    <t>Calvin Ridley</t>
  </si>
  <si>
    <t>Chimere Dike</t>
  </si>
  <si>
    <t>Elic Ayomanor</t>
  </si>
  <si>
    <t>Gunnar Helm</t>
  </si>
  <si>
    <t>Daniel Bellinger</t>
  </si>
  <si>
    <t>Kylen Granson</t>
  </si>
  <si>
    <t>David Martin-Robinson</t>
  </si>
  <si>
    <t>Joey Slye</t>
  </si>
  <si>
    <t>ATL</t>
  </si>
  <si>
    <t>Atlanta Falcons</t>
  </si>
  <si>
    <t>Cooper Rush</t>
  </si>
  <si>
    <t>Tua Tagovailoa</t>
  </si>
  <si>
    <t>Michael Penix Jr.</t>
  </si>
  <si>
    <t>Jack Strand</t>
  </si>
  <si>
    <t>Bijan Robinson</t>
  </si>
  <si>
    <t>Brian Robinson</t>
  </si>
  <si>
    <t>Drake London</t>
  </si>
  <si>
    <t>Olamide Zaccheaus</t>
  </si>
  <si>
    <t>Jahan Dotson</t>
  </si>
  <si>
    <t>Zachariah Branch</t>
  </si>
  <si>
    <t>Chris Blair</t>
  </si>
  <si>
    <t>Kyle Pitts Sr.</t>
  </si>
  <si>
    <t>Charlie Woerner</t>
  </si>
  <si>
    <t>Austin Hooper</t>
  </si>
  <si>
    <t>Nick Folk</t>
  </si>
  <si>
    <t>PIT</t>
  </si>
  <si>
    <t>Pittsburgh Steelers</t>
  </si>
  <si>
    <t>Aaron Rodgers</t>
  </si>
  <si>
    <t>Mason Rudolph</t>
  </si>
  <si>
    <t>Will Howard</t>
  </si>
  <si>
    <t>Drew Allar</t>
  </si>
  <si>
    <t>Jaylen Warren</t>
  </si>
  <si>
    <t>Rico Dowdle</t>
  </si>
  <si>
    <t>Eli Heidenreich</t>
  </si>
  <si>
    <t>Riley Nowakowski</t>
  </si>
  <si>
    <t>DK Metcalf</t>
  </si>
  <si>
    <t>Michael Pittman Jr.</t>
  </si>
  <si>
    <t>Roman Wilson</t>
  </si>
  <si>
    <t>Germie Bernard</t>
  </si>
  <si>
    <t>Ben Skowronek</t>
  </si>
  <si>
    <t>Kaden Wetjen</t>
  </si>
  <si>
    <t>Pat Freiermuth</t>
  </si>
  <si>
    <t>Darnell Washington</t>
  </si>
  <si>
    <t>Robert Tonyan</t>
  </si>
  <si>
    <t>Chris Boswell</t>
  </si>
  <si>
    <t>CLE</t>
  </si>
  <si>
    <t>Cleveland Browns</t>
  </si>
  <si>
    <t>Deshaun Watson</t>
  </si>
  <si>
    <t>Taylen Green</t>
  </si>
  <si>
    <t>Shedeur Sanders</t>
  </si>
  <si>
    <t>Quinshon Judkins</t>
  </si>
  <si>
    <t>Dylan Sampson</t>
  </si>
  <si>
    <t>Raheim Sanders</t>
  </si>
  <si>
    <t>Michael Burton</t>
  </si>
  <si>
    <t>Jerry Jeudy</t>
  </si>
  <si>
    <t>KC Concepcion</t>
  </si>
  <si>
    <t>Denzel Boston</t>
  </si>
  <si>
    <t>Malachi Corley</t>
  </si>
  <si>
    <t>Tylan Wallace</t>
  </si>
  <si>
    <t>Isaiah Bond</t>
  </si>
  <si>
    <t>Harold Fannin Jr.</t>
  </si>
  <si>
    <t>Blake Whiteheart</t>
  </si>
  <si>
    <t>Carsen Ryan</t>
  </si>
  <si>
    <t>Joe Royer</t>
  </si>
  <si>
    <t>Andre Szmyt</t>
  </si>
  <si>
    <t>JAX</t>
  </si>
  <si>
    <t>Jacksonville Jaguars</t>
  </si>
  <si>
    <t>Trevor Lawrence</t>
  </si>
  <si>
    <t>Quinn Ewers</t>
  </si>
  <si>
    <t>Chris Rodriguez Jr.</t>
  </si>
  <si>
    <t>Bhayshul Tuten</t>
  </si>
  <si>
    <t>LeQuint Allen Jr.</t>
  </si>
  <si>
    <t>Ameer Abdullah</t>
  </si>
  <si>
    <t>Parker Washington</t>
  </si>
  <si>
    <t>Jakobi Meyers</t>
  </si>
  <si>
    <t>Brian Thomas Jr.</t>
  </si>
  <si>
    <t>Travis Hunter</t>
  </si>
  <si>
    <t>Josh Cameron</t>
  </si>
  <si>
    <t>CJ Williams</t>
  </si>
  <si>
    <t>Brenton Strange</t>
  </si>
  <si>
    <t>Nate Boerkircher</t>
  </si>
  <si>
    <t>Tanner Koziol</t>
  </si>
  <si>
    <t>Quintin Morris</t>
  </si>
  <si>
    <t>Cam Little</t>
  </si>
  <si>
    <t>BAL</t>
  </si>
  <si>
    <t>Baltimore Ravens</t>
  </si>
  <si>
    <t>Lamar Jackson</t>
  </si>
  <si>
    <t>Tyler Huntley</t>
  </si>
  <si>
    <t>Joe Fagnano</t>
  </si>
  <si>
    <t>Derrick Henry</t>
  </si>
  <si>
    <t>Justice Hill</t>
  </si>
  <si>
    <t>Rasheen Ali</t>
  </si>
  <si>
    <t>Zay Flowers</t>
  </si>
  <si>
    <t>Rashod Bateman</t>
  </si>
  <si>
    <t>Ja'Kobi Lane</t>
  </si>
  <si>
    <t>Devontez Walker</t>
  </si>
  <si>
    <t>Elijah Sarratt</t>
  </si>
  <si>
    <t>LaJohntay Wester</t>
  </si>
  <si>
    <t>Mark Andrews</t>
  </si>
  <si>
    <t>Durham Smythe</t>
  </si>
  <si>
    <t>Matt Hibner</t>
  </si>
  <si>
    <t>Josh Cuevas</t>
  </si>
  <si>
    <t>Tyler Loop</t>
  </si>
  <si>
    <t>IND</t>
  </si>
  <si>
    <t>Indianapolis Colts</t>
  </si>
  <si>
    <t>Anthony Richardson Sr.</t>
  </si>
  <si>
    <t>Riley Leonard</t>
  </si>
  <si>
    <t>Jonathan Taylor</t>
  </si>
  <si>
    <t>Seth McGowan</t>
  </si>
  <si>
    <t>DJ Giddens</t>
  </si>
  <si>
    <t>Keenan Allen</t>
  </si>
  <si>
    <t>Josh Downs</t>
  </si>
  <si>
    <t>Alec Pierce</t>
  </si>
  <si>
    <t>Ashton Dulin</t>
  </si>
  <si>
    <t>Laquon Treadwell</t>
  </si>
  <si>
    <t>Deion Burks</t>
  </si>
  <si>
    <t>Tyler Warren</t>
  </si>
  <si>
    <t>Mo Alie-Cox</t>
  </si>
  <si>
    <t>Drew Ogletree</t>
  </si>
  <si>
    <t>BUF</t>
  </si>
  <si>
    <t>Buffalo Bills</t>
  </si>
  <si>
    <t>Josh Allen</t>
  </si>
  <si>
    <t>Kyle Allen</t>
  </si>
  <si>
    <t>James Cook III</t>
  </si>
  <si>
    <t>Ray Davis</t>
  </si>
  <si>
    <t>Ty Johnson</t>
  </si>
  <si>
    <t>DJ Moore</t>
  </si>
  <si>
    <t>Khalil Shakir</t>
  </si>
  <si>
    <t>Keon Coleman</t>
  </si>
  <si>
    <t>Joshua Palmer</t>
  </si>
  <si>
    <t>Skyler Bell</t>
  </si>
  <si>
    <t>Dalton Kincaid</t>
  </si>
  <si>
    <t>Dawson Knox</t>
  </si>
  <si>
    <t>Jackson Hawes</t>
  </si>
  <si>
    <t>Keleki Latu</t>
  </si>
  <si>
    <t>Tyler Bass</t>
  </si>
  <si>
    <t>HOU</t>
  </si>
  <si>
    <t>Houston Texans</t>
  </si>
  <si>
    <t>C.J. Stroud</t>
  </si>
  <si>
    <t>Davis Mills</t>
  </si>
  <si>
    <t>David Montgomery</t>
  </si>
  <si>
    <t>Woody Marks</t>
  </si>
  <si>
    <t>British Brooks</t>
  </si>
  <si>
    <t>Nico Collins</t>
  </si>
  <si>
    <t>Kayshon Boutte</t>
  </si>
  <si>
    <t>Xavier Hutchinson</t>
  </si>
  <si>
    <t>Jaylin Noel</t>
  </si>
  <si>
    <t>Jared Wayne</t>
  </si>
  <si>
    <t>Dalton Schultz</t>
  </si>
  <si>
    <t>Cade Stover</t>
  </si>
  <si>
    <t>Foster Moreau</t>
  </si>
  <si>
    <t>Brevin Jordan</t>
  </si>
  <si>
    <t>Marlin Klein</t>
  </si>
  <si>
    <t>Ka'imi Fairbairn</t>
  </si>
  <si>
    <t>NO</t>
  </si>
  <si>
    <t>New Orleans Saints</t>
  </si>
  <si>
    <t>Tyler Shough</t>
  </si>
  <si>
    <t>Zach Wilson</t>
  </si>
  <si>
    <t>Spencer Rattler</t>
  </si>
  <si>
    <t>Travis Etienne Jr.</t>
  </si>
  <si>
    <t>Alvin Kamara</t>
  </si>
  <si>
    <t>Kendre Miller</t>
  </si>
  <si>
    <t>Audric Estimé</t>
  </si>
  <si>
    <t>Chris Olave</t>
  </si>
  <si>
    <t>Devaughn Vele</t>
  </si>
  <si>
    <t>Bryce Lance</t>
  </si>
  <si>
    <t>Barion Brown</t>
  </si>
  <si>
    <t>Mason Tipton</t>
  </si>
  <si>
    <t>Juwan Johnson</t>
  </si>
  <si>
    <t>Noah Fant</t>
  </si>
  <si>
    <t>Oscar Delp</t>
  </si>
  <si>
    <t>Daniel Carlson</t>
  </si>
  <si>
    <t>DET</t>
  </si>
  <si>
    <t>Detroit Lions</t>
  </si>
  <si>
    <t>Jared Goff</t>
  </si>
  <si>
    <t>Joshua Dobbs</t>
  </si>
  <si>
    <t>Jahmyr Gibbs</t>
  </si>
  <si>
    <t>Jacob Saylors</t>
  </si>
  <si>
    <t>Sione Vaki</t>
  </si>
  <si>
    <t>Amon-Ra St. Brown</t>
  </si>
  <si>
    <t>Jameson Williams</t>
  </si>
  <si>
    <t>Isaac TeSlaa</t>
  </si>
  <si>
    <t>Tay Martin</t>
  </si>
  <si>
    <t>Sam LaPorta</t>
  </si>
  <si>
    <t>Tyler Conklin</t>
  </si>
  <si>
    <t>Brock Wright</t>
  </si>
  <si>
    <t>Jackson Meeks</t>
  </si>
  <si>
    <t>Jake Bates</t>
  </si>
  <si>
    <t>Baker Mayfield</t>
  </si>
  <si>
    <t>Jalon Daniels</t>
  </si>
  <si>
    <t>Bucky Irving</t>
  </si>
  <si>
    <t>Kenny Gainwell</t>
  </si>
  <si>
    <t>Sean Tucker</t>
  </si>
  <si>
    <t>Emeka Egbuka</t>
  </si>
  <si>
    <t>Chris Godwin Jr.</t>
  </si>
  <si>
    <t>Ted Hurst III</t>
  </si>
  <si>
    <t>Tez Johnson</t>
  </si>
  <si>
    <t>Jalen McMillan</t>
  </si>
  <si>
    <t>Kameron Johnson</t>
  </si>
  <si>
    <t>Cade Otton</t>
  </si>
  <si>
    <t>Payne Durham</t>
  </si>
  <si>
    <t>Ko Kieft</t>
  </si>
  <si>
    <t>Bauer Sharp</t>
  </si>
  <si>
    <t>Chase McLaughlin</t>
  </si>
  <si>
    <t>CIN</t>
  </si>
  <si>
    <t>Cincinnati Bengals</t>
  </si>
  <si>
    <t>Joe Burrow</t>
  </si>
  <si>
    <t>Joe Flacco</t>
  </si>
  <si>
    <t>Chase Brown</t>
  </si>
  <si>
    <t>Samaje Perine</t>
  </si>
  <si>
    <t>Tahj Brooks</t>
  </si>
  <si>
    <t>Ja'Marr Chase</t>
  </si>
  <si>
    <t>Tee Higgins</t>
  </si>
  <si>
    <t>Andrei Iosivas</t>
  </si>
  <si>
    <t>Colbie Young</t>
  </si>
  <si>
    <t>Dohnte Meyers</t>
  </si>
  <si>
    <t>Ke'Shawn Williams</t>
  </si>
  <si>
    <t>Erick All Jr.</t>
  </si>
  <si>
    <t>Mike Gesicki</t>
  </si>
  <si>
    <t>Drew Sample</t>
  </si>
  <si>
    <t>Jack Endries</t>
  </si>
  <si>
    <t>Evan McPherson</t>
  </si>
  <si>
    <t>Pts per $1k</t>
  </si>
  <si>
    <t>Written to</t>
  </si>
  <si>
    <t>Source</t>
  </si>
  <si>
    <t>Object</t>
  </si>
  <si>
    <t>Obtained via</t>
  </si>
  <si>
    <t>Query or request</t>
  </si>
  <si>
    <t>Parameters</t>
  </si>
  <si>
    <t>Run at</t>
  </si>
  <si>
    <t>Requested by</t>
  </si>
  <si>
    <t>Row count</t>
  </si>
  <si>
    <t>Changes after retrieval</t>
  </si>
  <si>
    <t>Notes</t>
  </si>
  <si>
    <t>Players!A1:O422</t>
  </si>
  <si>
    <t>DFS projections export (site not stated by user)</t>
  </si>
  <si>
    <t>Pasted text export covering 24 NFL teams</t>
  </si>
  <si>
    <t>Pasted into chat by user; not run by Claude</t>
  </si>
  <si>
    <t>User request: "organize the data" — pasted DFS player projection export</t>
  </si>
  <si>
    <t>n/a</t>
  </si>
  <si>
    <t>2026-09-12 (write time; user did not state when the data was pulled)</t>
  </si>
  <si>
    <t>Ownership and market-share figures as pasted</t>
  </si>
  <si>
    <t>Teams!A1:H25</t>
  </si>
  <si>
    <t>Team-level context block from the same paste</t>
  </si>
  <si>
    <t>Same paste as above</t>
  </si>
  <si>
    <t>Percent fields converted to decimals</t>
  </si>
  <si>
    <t>—</t>
  </si>
  <si>
    <t>Stacked value/% lines split into columns; percentages stored as decimals; team-level context moved to Teams sheet; derived Pts per $1k column added</t>
  </si>
  <si>
    <t>DEN</t>
  </si>
  <si>
    <t>Denver Broncos</t>
  </si>
  <si>
    <t>Bo Nix</t>
  </si>
  <si>
    <t>Jarrett Stidham</t>
  </si>
  <si>
    <t>Sam Ehlinger</t>
  </si>
  <si>
    <t>J.K. Dobbins</t>
  </si>
  <si>
    <t>RJ Harvey</t>
  </si>
  <si>
    <t>Jonah Coleman</t>
  </si>
  <si>
    <t>Tyler Badie</t>
  </si>
  <si>
    <t>Jaylen Waddle</t>
  </si>
  <si>
    <t>Courtland Sutton</t>
  </si>
  <si>
    <t>Pat Bryant</t>
  </si>
  <si>
    <t>Troy Franklin</t>
  </si>
  <si>
    <t>Marvin Mims Jr.</t>
  </si>
  <si>
    <t>Lil'Jordan Humphrey</t>
  </si>
  <si>
    <t>Evan Engram</t>
  </si>
  <si>
    <t>Adam Trautman</t>
  </si>
  <si>
    <t>Nate Adkins</t>
  </si>
  <si>
    <t>Dallen Bentley</t>
  </si>
  <si>
    <t>Wil Lutz</t>
  </si>
  <si>
    <t>KC</t>
  </si>
  <si>
    <t>Kansas City Chiefs</t>
  </si>
  <si>
    <t>Patrick Mahomes</t>
  </si>
  <si>
    <t>Justin Fields</t>
  </si>
  <si>
    <t>Garrett Nussmeier</t>
  </si>
  <si>
    <t>Kenneth Walker</t>
  </si>
  <si>
    <t>Emmett Johnson</t>
  </si>
  <si>
    <t>Brashard Smith</t>
  </si>
  <si>
    <t>Rashee Rice</t>
  </si>
  <si>
    <t>Xavier Worthy</t>
  </si>
  <si>
    <t>Tyquan Thornton</t>
  </si>
  <si>
    <t>Cyrus Allen</t>
  </si>
  <si>
    <t>Jalen Royals</t>
  </si>
  <si>
    <t>Nikko Remigio</t>
  </si>
  <si>
    <t>Travis Kelce</t>
  </si>
  <si>
    <t>Noah Gray</t>
  </si>
  <si>
    <t>Jared Wiley</t>
  </si>
  <si>
    <t>Jake Briningstool</t>
  </si>
  <si>
    <t>Harrison Butker</t>
  </si>
  <si>
    <t>DAL</t>
  </si>
  <si>
    <t>Dallas Cowboys</t>
  </si>
  <si>
    <t>Dak Prescott</t>
  </si>
  <si>
    <t>Sam Howell</t>
  </si>
  <si>
    <t>Javonte Williams</t>
  </si>
  <si>
    <t>Emari Demercado</t>
  </si>
  <si>
    <t>Hunter Luepke</t>
  </si>
  <si>
    <t>Malik Davis</t>
  </si>
  <si>
    <t>CeeDee Lamb</t>
  </si>
  <si>
    <t>George Pickens</t>
  </si>
  <si>
    <t>Ryan Flournoy</t>
  </si>
  <si>
    <t>KaVontae Turpin</t>
  </si>
  <si>
    <t>Jonathan Mingo</t>
  </si>
  <si>
    <t>Camden Brown</t>
  </si>
  <si>
    <t>Jake Ferguson</t>
  </si>
  <si>
    <t>Luke Schoonmaker</t>
  </si>
  <si>
    <t>Brevyn Spann-Ford</t>
  </si>
  <si>
    <t>Brandon Aubrey</t>
  </si>
  <si>
    <t>NYG</t>
  </si>
  <si>
    <t>New York Giants</t>
  </si>
  <si>
    <t>Jaxson Dart</t>
  </si>
  <si>
    <t>Jameis Winston</t>
  </si>
  <si>
    <t>Cam Skattebo</t>
  </si>
  <si>
    <t>Tyrone Tracy Jr.</t>
  </si>
  <si>
    <t>Najee Harris</t>
  </si>
  <si>
    <t>Devin Singletary</t>
  </si>
  <si>
    <t>Patrick Ricard</t>
  </si>
  <si>
    <t>Malachi Fields</t>
  </si>
  <si>
    <t>Darnell Mooney</t>
  </si>
  <si>
    <t>Odell Beckham Jr.</t>
  </si>
  <si>
    <t>Darius Slayton</t>
  </si>
  <si>
    <t>Isaiah Likely</t>
  </si>
  <si>
    <t>Theo Johnson</t>
  </si>
  <si>
    <t>Chris Manhertz</t>
  </si>
  <si>
    <t>Thomas Fidone II</t>
  </si>
  <si>
    <t>Dominic Zvada</t>
  </si>
  <si>
    <t>SF</t>
  </si>
  <si>
    <t>San Francisco 49ers</t>
  </si>
  <si>
    <t>Brock Purdy</t>
  </si>
  <si>
    <t>Mac Jones</t>
  </si>
  <si>
    <t>Kurtis Rourke</t>
  </si>
  <si>
    <t>Christian McCaffrey</t>
  </si>
  <si>
    <t>Kaelon Black</t>
  </si>
  <si>
    <t>Jordan James</t>
  </si>
  <si>
    <t>Isaac Guerendo</t>
  </si>
  <si>
    <t>Kyle Juszczyk</t>
  </si>
  <si>
    <t>Mike Evans</t>
  </si>
  <si>
    <t>Deebo Samuel Sr.</t>
  </si>
  <si>
    <t>De'Zhaun Stribling</t>
  </si>
  <si>
    <t>Demarcus Robinson</t>
  </si>
  <si>
    <t>Jordan Watkins</t>
  </si>
  <si>
    <t>Jacob Cowing</t>
  </si>
  <si>
    <t>George Kittle</t>
  </si>
  <si>
    <t>Jake Tonges</t>
  </si>
  <si>
    <t>Luke Farrell</t>
  </si>
  <si>
    <t>Eddy Piñeiro</t>
  </si>
  <si>
    <t>LAR</t>
  </si>
  <si>
    <t>Los Angeles Rams</t>
  </si>
  <si>
    <t>Matthew Stafford</t>
  </si>
  <si>
    <t>Stetson Bennett IV</t>
  </si>
  <si>
    <t>Ty Simpson</t>
  </si>
  <si>
    <t>Kyren Williams</t>
  </si>
  <si>
    <t>Blake Corum</t>
  </si>
  <si>
    <t>Ronnie Rivers</t>
  </si>
  <si>
    <t>Puka Nacua</t>
  </si>
  <si>
    <t>Davante Adams</t>
  </si>
  <si>
    <t>Jordan Whittington</t>
  </si>
  <si>
    <t>Xavier Smith</t>
  </si>
  <si>
    <t>Konata Mumpfield</t>
  </si>
  <si>
    <t>CJ Daniels</t>
  </si>
  <si>
    <t>Tutu Atwell</t>
  </si>
  <si>
    <t>Colby Parkinson</t>
  </si>
  <si>
    <t>Terrance Ferguson</t>
  </si>
  <si>
    <t>Tyler Higbee</t>
  </si>
  <si>
    <t>Davis Allen</t>
  </si>
  <si>
    <t>Max Klare</t>
  </si>
  <si>
    <t>Harrison Mevis</t>
  </si>
  <si>
    <t>NE</t>
  </si>
  <si>
    <t>New England Patriots</t>
  </si>
  <si>
    <t>Drake Maye</t>
  </si>
  <si>
    <t>Tommy DeVito</t>
  </si>
  <si>
    <t>Behren Morton</t>
  </si>
  <si>
    <t>Rhamondre Stevenson</t>
  </si>
  <si>
    <t>Corey Kiner</t>
  </si>
  <si>
    <t>Reggie Gilliam</t>
  </si>
  <si>
    <t>TreVeyon Henderson</t>
  </si>
  <si>
    <t>A.J. Brown</t>
  </si>
  <si>
    <t>Romeo Doubs</t>
  </si>
  <si>
    <t>DeMario Douglas</t>
  </si>
  <si>
    <t>Kyle Williams</t>
  </si>
  <si>
    <t>Mack Hollins</t>
  </si>
  <si>
    <t>Efton Chism III</t>
  </si>
  <si>
    <t>Hunter Henry</t>
  </si>
  <si>
    <t>Eli Raridon</t>
  </si>
  <si>
    <t>Tanner Arkin</t>
  </si>
  <si>
    <t>Cameron Latu</t>
  </si>
  <si>
    <t>Andy Borregales</t>
  </si>
  <si>
    <t>SEA</t>
  </si>
  <si>
    <t>Seattle Seahawks</t>
  </si>
  <si>
    <t>Sam Darnold</t>
  </si>
  <si>
    <t>Drew Lock</t>
  </si>
  <si>
    <t>Jalen Milroe</t>
  </si>
  <si>
    <t>Jadarian Price</t>
  </si>
  <si>
    <t>George Holani</t>
  </si>
  <si>
    <t>Emanuel Wilson</t>
  </si>
  <si>
    <t>Brady Russell</t>
  </si>
  <si>
    <t>Jaxon Smith-Njigba</t>
  </si>
  <si>
    <t>Cooper Kupp</t>
  </si>
  <si>
    <t>Rashid Shaheed</t>
  </si>
  <si>
    <t>Montorie Foster Jr.</t>
  </si>
  <si>
    <t>Tory Horton</t>
  </si>
  <si>
    <t>AJ Barner</t>
  </si>
  <si>
    <t>Elijah Arroyo</t>
  </si>
  <si>
    <t>Eric Saubert</t>
  </si>
  <si>
    <t>Nick Kallerup</t>
  </si>
  <si>
    <t>Jason Myers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</si>
</sst>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"/>
    <numFmt numFmtId="165" formatCode="0.0"/>
    <numFmt numFmtId="166" formatCode="0.0%"/>
  </numFmts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2" fontId="0" fillId="0" borderId="0" xfId="0" applyNumberFormat="1"/>
    <xf numFmtId="0" fontId="1" fillId="0" borderId="0" xfId="0" applyFont="1"/>
    <xf numFmtId="10" fontId="0" fillId="0" borderId="0" xfId="0" applyNumberFormat="1"/>
  </cellXfs>
  <cellStyles count="1">
    <cellStyle name="Normal" xfId="0" builtinId="0"/>
  </cellStyles>
  <dxfs count="17">
    <dxf>
      <numFmt numFmtId="166" formatCode="0.0%"/>
    </dxf>
    <dxf>
      <numFmt numFmtId="164" formatCode="&quot;$&quot;#,##0"/>
    </dxf>
    <dxf>
      <numFmt numFmtId="166" formatCode="0.0%"/>
    </dxf>
    <dxf>
      <numFmt numFmtId="166" formatCode="0.0%"/>
    </dxf>
    <dxf>
      <numFmt numFmtId="165" formatCode="0.0"/>
    </dxf>
    <dxf>
      <numFmt numFmtId="165" formatCode="0.0"/>
    </dxf>
    <dxf>
      <numFmt numFmtId="2" formatCode="0.00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4" formatCode="0.00%"/>
    </dxf>
    <dxf>
      <numFmt numFmtId="165" formatCode="0.0"/>
    </dxf>
    <dxf>
      <numFmt numFmtId="164" formatCode="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B90302-D473-4745-BD1B-5A9A226F9A6F}" name="PlayerProj" displayName="PlayerProj" ref="A1:O569" totalsRowShown="0">
  <autoFilter ref="A1:O569" xr:uid="{A0B90302-D473-4745-BD1B-5A9A226F9A6F}"/>
  <tableColumns count="15">
    <tableColumn id="1" xr3:uid="{409A1095-09AF-1243-BCF1-F8DC015449B0}" name="Team"/>
    <tableColumn id="2" xr3:uid="{98880625-52AC-9946-B915-B9A8EEAEC94E}" name="Team Name"/>
    <tableColumn id="3" xr3:uid="{A54F37DF-315A-844B-B78B-C12B41DD956D}" name="Pos"/>
    <tableColumn id="4" xr3:uid="{72346427-0DBA-A342-8794-983BD2E59A05}" name="Player"/>
    <tableColumn id="5" xr3:uid="{F4F2BF20-494B-4447-A5EB-E711E254886E}" name="Salary" dataDxfId="16"/>
    <tableColumn id="6" xr3:uid="{BCC75F99-1204-A44F-AE15-4922ED2EAF25}" name="Proj" dataDxfId="15"/>
    <tableColumn id="7" xr3:uid="{82D62340-A643-6E48-A37E-0F1A4BF251BB}" name="Own %" dataDxfId="14"/>
    <tableColumn id="8" xr3:uid="{EF154A72-0FFB-5E4A-AC64-28F994307642}" name="Rush Mkt Share" dataDxfId="13"/>
    <tableColumn id="9" xr3:uid="{90E52387-D39D-8041-99CB-DCA14FCD8749}" name="Rush TD Mkt Share" dataDxfId="12"/>
    <tableColumn id="10" xr3:uid="{D4C71192-3175-6442-B2C3-A58FF2050E31}" name="Rec Mkt Share" dataDxfId="11"/>
    <tableColumn id="11" xr3:uid="{1187441D-4688-6646-B743-21F7BF488B4D}" name="Rec TD Mkt Share" dataDxfId="10"/>
    <tableColumn id="12" xr3:uid="{0A51E458-3134-E944-B86E-2B10084851B1}" name="Catch Rate" dataDxfId="9"/>
    <tableColumn id="13" xr3:uid="{265A9D32-88B6-4F4D-BF50-7CD506A3E3B1}" name="Pass Mkt Share" dataDxfId="8"/>
    <tableColumn id="14" xr3:uid="{3DBF5CEB-3D40-D648-B720-291F4659F6AE}" name="Int Rate" dataDxfId="7"/>
    <tableColumn id="15" xr3:uid="{097D83F8-560E-C944-89B8-8C38B1F7B701}" name="Pts per $1k" dataDxfId="6">
      <calculatedColumnFormula>IFERROR(F2/(E2/1000),"")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FAB5F64-03E6-AA4F-BA4E-47211941E062}" name="TeamContext" displayName="TeamContext" ref="A1:H33" totalsRowShown="0">
  <autoFilter ref="A1:H33" xr:uid="{DFAB5F64-03E6-AA4F-BA4E-47211941E062}"/>
  <tableColumns count="8">
    <tableColumn id="1" xr3:uid="{22DB9079-FE6D-2143-8187-3CAD27D561E7}" name="Team"/>
    <tableColumn id="2" xr3:uid="{979E2606-5E4B-AB41-9349-98CFDD5144C7}" name="Team Name"/>
    <tableColumn id="3" xr3:uid="{4B4F72D9-3EDC-1E42-9B73-E4E6CB8B1886}" name="Points Scored" dataDxfId="5"/>
    <tableColumn id="4" xr3:uid="{EDE9CD9C-168B-5C47-9254-CFBB0CA51F2B}" name="Pace" dataDxfId="4"/>
    <tableColumn id="5" xr3:uid="{EBC0A7BE-FAD6-7649-8207-E6631A0B9FE6}" name="Rush Rate" dataDxfId="3"/>
    <tableColumn id="6" xr3:uid="{6AE0D25F-D4A4-A34B-A0E5-8E3E5D5F4305}" name="Rush TD Ratio" dataDxfId="2"/>
    <tableColumn id="7" xr3:uid="{ADE96455-8002-1A45-959D-E214FA59D6CA}" name="DST Salary" dataDxfId="1"/>
    <tableColumn id="8" xr3:uid="{DB17CAEE-8A20-8041-8F9B-11D40D5E4D77}" name="Sack R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D52D12C-4411-6249-8F5A-ECE139BFFAA3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54a6d719-c6bf-4f82-9626-a69c5adbddfb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72CCE-2742-BC4C-871E-99C4C11A3570}">
  <dimension ref="A1:O569"/>
  <sheetViews>
    <sheetView workbookViewId="0">
      <pane ySplit="1" topLeftCell="A524" activePane="bottomLeft" state="frozen"/>
      <selection pane="bottomLeft" activeCell="D149" sqref="D149"/>
    </sheetView>
  </sheetViews>
  <sheetFormatPr baseColWidth="10" defaultRowHeight="16" x14ac:dyDescent="0.2"/>
  <cols>
    <col min="1" max="1" width="8.1640625" bestFit="1" customWidth="1"/>
    <col min="2" max="2" width="22.1640625" bestFit="1" customWidth="1"/>
    <col min="3" max="3" width="6.83203125" bestFit="1" customWidth="1"/>
    <col min="4" max="4" width="22.1640625" bestFit="1" customWidth="1"/>
    <col min="5" max="5" width="8.6640625" bestFit="1" customWidth="1"/>
    <col min="6" max="6" width="7" bestFit="1" customWidth="1"/>
    <col min="7" max="7" width="9.1640625" bestFit="1" customWidth="1"/>
    <col min="8" max="8" width="16.33203125" bestFit="1" customWidth="1"/>
    <col min="9" max="9" width="19" bestFit="1" customWidth="1"/>
    <col min="10" max="10" width="15.33203125" bestFit="1" customWidth="1"/>
    <col min="11" max="11" width="17.83203125" bestFit="1" customWidth="1"/>
    <col min="12" max="12" width="12.83203125" bestFit="1" customWidth="1"/>
    <col min="13" max="13" width="16.33203125" bestFit="1" customWidth="1"/>
    <col min="14" max="14" width="10" bestFit="1" customWidth="1"/>
    <col min="15" max="15" width="12.83203125" bestFit="1" customWidth="1"/>
  </cols>
  <sheetData>
    <row r="1" spans="1:15" x14ac:dyDescent="0.2">
      <c r="A1" t="s">
        <v>61</v>
      </c>
      <c r="B1" t="s">
        <v>62</v>
      </c>
      <c r="C1" t="s">
        <v>3</v>
      </c>
      <c r="D1" t="s">
        <v>4</v>
      </c>
      <c r="E1" t="s">
        <v>5</v>
      </c>
      <c r="F1" t="s">
        <v>6</v>
      </c>
      <c r="G1" t="s">
        <v>63</v>
      </c>
      <c r="H1" t="s">
        <v>64</v>
      </c>
      <c r="I1" t="s">
        <v>65</v>
      </c>
      <c r="J1" t="s">
        <v>66</v>
      </c>
      <c r="K1" t="s">
        <v>67</v>
      </c>
      <c r="L1" t="s">
        <v>7</v>
      </c>
      <c r="M1" t="s">
        <v>68</v>
      </c>
      <c r="N1" t="s">
        <v>8</v>
      </c>
      <c r="O1" t="s">
        <v>471</v>
      </c>
    </row>
    <row r="2" spans="1:15" x14ac:dyDescent="0.2">
      <c r="A2" t="s">
        <v>18</v>
      </c>
      <c r="B2" t="s">
        <v>19</v>
      </c>
      <c r="C2" t="s">
        <v>9</v>
      </c>
      <c r="D2" t="s">
        <v>24</v>
      </c>
      <c r="E2" s="1">
        <v>6300</v>
      </c>
      <c r="F2" s="2">
        <v>16.8</v>
      </c>
      <c r="G2" s="6">
        <v>5.2499999999999998E-2</v>
      </c>
      <c r="H2" s="3">
        <v>0.152</v>
      </c>
      <c r="I2" s="3">
        <v>0.154</v>
      </c>
      <c r="J2" s="3">
        <v>0</v>
      </c>
      <c r="K2" s="3">
        <v>0</v>
      </c>
      <c r="L2" s="3">
        <v>0</v>
      </c>
      <c r="M2" s="3">
        <v>1</v>
      </c>
      <c r="N2" s="3">
        <v>1.3999999999999999E-2</v>
      </c>
      <c r="O2" s="4">
        <f>IFERROR(F2/(E2/1000),"")</f>
        <v>2.666666666666667</v>
      </c>
    </row>
    <row r="3" spans="1:15" x14ac:dyDescent="0.2">
      <c r="A3" t="s">
        <v>18</v>
      </c>
      <c r="B3" t="s">
        <v>19</v>
      </c>
      <c r="C3" t="s">
        <v>9</v>
      </c>
      <c r="D3" t="s">
        <v>25</v>
      </c>
      <c r="E3" s="1">
        <v>4000</v>
      </c>
      <c r="F3" s="2">
        <v>0</v>
      </c>
      <c r="G3" s="6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4">
        <f t="shared" ref="O3:O66" si="0">IFERROR(F3/(E3/1000),"")</f>
        <v>0</v>
      </c>
    </row>
    <row r="4" spans="1:15" x14ac:dyDescent="0.2">
      <c r="A4" t="s">
        <v>18</v>
      </c>
      <c r="B4" t="s">
        <v>19</v>
      </c>
      <c r="C4" t="s">
        <v>9</v>
      </c>
      <c r="D4" t="s">
        <v>26</v>
      </c>
      <c r="E4" s="1">
        <v>4000</v>
      </c>
      <c r="F4" s="2">
        <v>0</v>
      </c>
      <c r="G4" s="6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4">
        <f t="shared" si="0"/>
        <v>0</v>
      </c>
    </row>
    <row r="5" spans="1:15" x14ac:dyDescent="0.2">
      <c r="A5" t="s">
        <v>18</v>
      </c>
      <c r="B5" t="s">
        <v>19</v>
      </c>
      <c r="C5" t="s">
        <v>10</v>
      </c>
      <c r="D5" t="s">
        <v>27</v>
      </c>
      <c r="E5" s="1">
        <v>6100</v>
      </c>
      <c r="F5" s="2">
        <v>12.8</v>
      </c>
      <c r="G5" s="6">
        <v>0.1195</v>
      </c>
      <c r="H5" s="3">
        <v>0.46799999999999997</v>
      </c>
      <c r="I5" s="3">
        <v>0.5</v>
      </c>
      <c r="J5" s="3">
        <v>8.6999999999999994E-2</v>
      </c>
      <c r="K5" s="3">
        <v>0.06</v>
      </c>
      <c r="L5" s="3">
        <v>0.76300000000000001</v>
      </c>
      <c r="M5" s="3">
        <v>0</v>
      </c>
      <c r="N5" s="3">
        <v>0</v>
      </c>
      <c r="O5" s="4">
        <f t="shared" si="0"/>
        <v>2.098360655737705</v>
      </c>
    </row>
    <row r="6" spans="1:15" x14ac:dyDescent="0.2">
      <c r="A6" t="s">
        <v>18</v>
      </c>
      <c r="B6" t="s">
        <v>19</v>
      </c>
      <c r="C6" t="s">
        <v>10</v>
      </c>
      <c r="D6" t="s">
        <v>28</v>
      </c>
      <c r="E6" s="1">
        <v>5100</v>
      </c>
      <c r="F6" s="2">
        <v>8.1</v>
      </c>
      <c r="G6" s="6">
        <v>8.3000000000000001E-3</v>
      </c>
      <c r="H6" s="3">
        <v>0.32899999999999996</v>
      </c>
      <c r="I6" s="3">
        <v>0.30599999999999999</v>
      </c>
      <c r="J6" s="3">
        <v>0.05</v>
      </c>
      <c r="K6" s="3">
        <v>4.2000000000000003E-2</v>
      </c>
      <c r="L6" s="3">
        <v>0.65300000000000002</v>
      </c>
      <c r="M6" s="3">
        <v>0</v>
      </c>
      <c r="N6" s="3">
        <v>0</v>
      </c>
      <c r="O6" s="4">
        <f t="shared" si="0"/>
        <v>1.5882352941176472</v>
      </c>
    </row>
    <row r="7" spans="1:15" x14ac:dyDescent="0.2">
      <c r="A7" t="s">
        <v>18</v>
      </c>
      <c r="B7" t="s">
        <v>19</v>
      </c>
      <c r="C7" t="s">
        <v>10</v>
      </c>
      <c r="D7" t="s">
        <v>29</v>
      </c>
      <c r="E7" s="1">
        <v>4000</v>
      </c>
      <c r="F7" s="2">
        <v>1</v>
      </c>
      <c r="G7" s="6">
        <v>5.0000000000000001E-4</v>
      </c>
      <c r="H7" s="3">
        <v>2.8999999999999998E-2</v>
      </c>
      <c r="I7" s="3">
        <v>0.02</v>
      </c>
      <c r="J7" s="3">
        <v>1.1000000000000001E-2</v>
      </c>
      <c r="K7" s="3">
        <v>5.0000000000000001E-3</v>
      </c>
      <c r="L7" s="3">
        <v>0.79500000000000004</v>
      </c>
      <c r="M7" s="3">
        <v>0</v>
      </c>
      <c r="N7" s="3">
        <v>0</v>
      </c>
      <c r="O7" s="4">
        <f t="shared" si="0"/>
        <v>0.25</v>
      </c>
    </row>
    <row r="8" spans="1:15" x14ac:dyDescent="0.2">
      <c r="A8" t="s">
        <v>18</v>
      </c>
      <c r="B8" t="s">
        <v>19</v>
      </c>
      <c r="C8" t="s">
        <v>11</v>
      </c>
      <c r="D8" t="s">
        <v>30</v>
      </c>
      <c r="E8" s="1">
        <v>5500</v>
      </c>
      <c r="F8" s="2">
        <v>11.9</v>
      </c>
      <c r="G8" s="6">
        <v>4.6600000000000003E-2</v>
      </c>
      <c r="H8" s="3">
        <v>1.4999999999999999E-2</v>
      </c>
      <c r="I8" s="3">
        <v>1.3000000000000001E-2</v>
      </c>
      <c r="J8" s="3">
        <v>0.21199999999999999</v>
      </c>
      <c r="K8" s="3">
        <v>0.221</v>
      </c>
      <c r="L8" s="3">
        <v>0.75800000000000001</v>
      </c>
      <c r="M8" s="3">
        <v>0</v>
      </c>
      <c r="N8" s="3">
        <v>0</v>
      </c>
      <c r="O8" s="4">
        <f t="shared" si="0"/>
        <v>2.1636363636363636</v>
      </c>
    </row>
    <row r="9" spans="1:15" x14ac:dyDescent="0.2">
      <c r="A9" t="s">
        <v>18</v>
      </c>
      <c r="B9" t="s">
        <v>19</v>
      </c>
      <c r="C9" t="s">
        <v>11</v>
      </c>
      <c r="D9" t="s">
        <v>31</v>
      </c>
      <c r="E9" s="1">
        <v>5400</v>
      </c>
      <c r="F9" s="2">
        <v>10.4</v>
      </c>
      <c r="G9" s="6">
        <v>7.9000000000000001E-2</v>
      </c>
      <c r="H9" s="3">
        <v>4.0000000000000001E-3</v>
      </c>
      <c r="I9" s="3">
        <v>4.0000000000000001E-3</v>
      </c>
      <c r="J9" s="3">
        <v>0.20899999999999999</v>
      </c>
      <c r="K9" s="3">
        <v>0.23600000000000002</v>
      </c>
      <c r="L9" s="3">
        <v>0.52</v>
      </c>
      <c r="M9" s="3">
        <v>0</v>
      </c>
      <c r="N9" s="3">
        <v>0</v>
      </c>
      <c r="O9" s="4">
        <f t="shared" si="0"/>
        <v>1.9259259259259258</v>
      </c>
    </row>
    <row r="10" spans="1:15" x14ac:dyDescent="0.2">
      <c r="A10" t="s">
        <v>18</v>
      </c>
      <c r="B10" t="s">
        <v>19</v>
      </c>
      <c r="C10" t="s">
        <v>11</v>
      </c>
      <c r="D10" t="s">
        <v>32</v>
      </c>
      <c r="E10" s="1">
        <v>3300</v>
      </c>
      <c r="F10" s="2">
        <v>3.7</v>
      </c>
      <c r="G10" s="6">
        <v>3.3E-3</v>
      </c>
      <c r="H10" s="3">
        <v>4.0000000000000001E-3</v>
      </c>
      <c r="I10" s="3">
        <v>3.0000000000000001E-3</v>
      </c>
      <c r="J10" s="3">
        <v>6.4000000000000001E-2</v>
      </c>
      <c r="K10" s="3">
        <v>6.9000000000000006E-2</v>
      </c>
      <c r="L10" s="3">
        <v>0.75900000000000001</v>
      </c>
      <c r="M10" s="3">
        <v>0</v>
      </c>
      <c r="N10" s="3">
        <v>0</v>
      </c>
      <c r="O10" s="4">
        <f t="shared" si="0"/>
        <v>1.1212121212121213</v>
      </c>
    </row>
    <row r="11" spans="1:15" x14ac:dyDescent="0.2">
      <c r="A11" t="s">
        <v>18</v>
      </c>
      <c r="B11" t="s">
        <v>19</v>
      </c>
      <c r="C11" t="s">
        <v>11</v>
      </c>
      <c r="D11" t="s">
        <v>33</v>
      </c>
      <c r="E11" s="1">
        <v>3600</v>
      </c>
      <c r="F11" s="2">
        <v>2.2999999999999998</v>
      </c>
      <c r="G11" s="6">
        <v>5.7999999999999996E-3</v>
      </c>
      <c r="H11" s="3">
        <v>0</v>
      </c>
      <c r="I11" s="3">
        <v>0</v>
      </c>
      <c r="J11" s="3">
        <v>4.8000000000000001E-2</v>
      </c>
      <c r="K11" s="3">
        <v>4.9000000000000002E-2</v>
      </c>
      <c r="L11" s="3">
        <v>0.63</v>
      </c>
      <c r="M11" s="3">
        <v>0</v>
      </c>
      <c r="N11" s="3">
        <v>0</v>
      </c>
      <c r="O11" s="4">
        <f t="shared" si="0"/>
        <v>0.63888888888888884</v>
      </c>
    </row>
    <row r="12" spans="1:15" x14ac:dyDescent="0.2">
      <c r="A12" t="s">
        <v>18</v>
      </c>
      <c r="B12" t="s">
        <v>19</v>
      </c>
      <c r="C12" t="s">
        <v>11</v>
      </c>
      <c r="D12" t="s">
        <v>34</v>
      </c>
      <c r="E12" s="1">
        <v>3100</v>
      </c>
      <c r="F12" s="2">
        <v>0.5</v>
      </c>
      <c r="G12" s="6">
        <v>7.000000000000001E-4</v>
      </c>
      <c r="H12" s="3">
        <v>0</v>
      </c>
      <c r="I12" s="3">
        <v>0</v>
      </c>
      <c r="J12" s="3">
        <v>1.1000000000000001E-2</v>
      </c>
      <c r="K12" s="3">
        <v>9.0000000000000011E-3</v>
      </c>
      <c r="L12" s="3">
        <v>0.61599999999999999</v>
      </c>
      <c r="M12" s="3">
        <v>0</v>
      </c>
      <c r="N12" s="3">
        <v>0</v>
      </c>
      <c r="O12" s="4">
        <f t="shared" si="0"/>
        <v>0.16129032258064516</v>
      </c>
    </row>
    <row r="13" spans="1:15" x14ac:dyDescent="0.2">
      <c r="A13" t="s">
        <v>18</v>
      </c>
      <c r="B13" t="s">
        <v>19</v>
      </c>
      <c r="C13" t="s">
        <v>12</v>
      </c>
      <c r="D13" t="s">
        <v>35</v>
      </c>
      <c r="E13" s="1">
        <v>5300</v>
      </c>
      <c r="F13" s="2">
        <v>10.3</v>
      </c>
      <c r="G13" s="6">
        <v>7.0099999999999996E-2</v>
      </c>
      <c r="H13" s="3">
        <v>0</v>
      </c>
      <c r="I13" s="3">
        <v>0</v>
      </c>
      <c r="J13" s="3">
        <v>0.20899999999999999</v>
      </c>
      <c r="K13" s="3">
        <v>0.222</v>
      </c>
      <c r="L13" s="3">
        <v>0.70900000000000007</v>
      </c>
      <c r="M13" s="3">
        <v>0</v>
      </c>
      <c r="N13" s="3">
        <v>0</v>
      </c>
      <c r="O13" s="4">
        <f t="shared" si="0"/>
        <v>1.9433962264150946</v>
      </c>
    </row>
    <row r="14" spans="1:15" x14ac:dyDescent="0.2">
      <c r="A14" t="s">
        <v>18</v>
      </c>
      <c r="B14" t="s">
        <v>19</v>
      </c>
      <c r="C14" t="s">
        <v>12</v>
      </c>
      <c r="D14" t="s">
        <v>36</v>
      </c>
      <c r="E14" s="1">
        <v>3300</v>
      </c>
      <c r="F14" s="2">
        <v>4.4000000000000004</v>
      </c>
      <c r="G14" s="6">
        <v>1.5900000000000001E-2</v>
      </c>
      <c r="H14" s="3">
        <v>0</v>
      </c>
      <c r="I14" s="3">
        <v>0</v>
      </c>
      <c r="J14" s="3">
        <v>8.6999999999999994E-2</v>
      </c>
      <c r="K14" s="3">
        <v>7.4999999999999997E-2</v>
      </c>
      <c r="L14" s="3">
        <v>0.745</v>
      </c>
      <c r="M14" s="3">
        <v>0</v>
      </c>
      <c r="N14" s="3">
        <v>0</v>
      </c>
      <c r="O14" s="4">
        <f t="shared" si="0"/>
        <v>1.3333333333333335</v>
      </c>
    </row>
    <row r="15" spans="1:15" x14ac:dyDescent="0.2">
      <c r="A15" t="s">
        <v>18</v>
      </c>
      <c r="B15" t="s">
        <v>19</v>
      </c>
      <c r="C15" t="s">
        <v>12</v>
      </c>
      <c r="D15" t="s">
        <v>37</v>
      </c>
      <c r="E15" s="1">
        <v>2800</v>
      </c>
      <c r="F15" s="2">
        <v>0.6</v>
      </c>
      <c r="G15" s="6">
        <v>0</v>
      </c>
      <c r="H15" s="3">
        <v>0</v>
      </c>
      <c r="I15" s="3">
        <v>0</v>
      </c>
      <c r="J15" s="3">
        <v>1.1000000000000001E-2</v>
      </c>
      <c r="K15" s="3">
        <v>1.2E-2</v>
      </c>
      <c r="L15" s="3">
        <v>0.72400000000000009</v>
      </c>
      <c r="M15" s="3">
        <v>0</v>
      </c>
      <c r="N15" s="3">
        <v>0</v>
      </c>
      <c r="O15" s="4">
        <f t="shared" si="0"/>
        <v>0.2142857142857143</v>
      </c>
    </row>
    <row r="16" spans="1:15" x14ac:dyDescent="0.2">
      <c r="A16" t="s">
        <v>18</v>
      </c>
      <c r="B16" t="s">
        <v>19</v>
      </c>
      <c r="C16" t="s">
        <v>14</v>
      </c>
      <c r="D16" t="s">
        <v>38</v>
      </c>
      <c r="E16" s="1"/>
      <c r="F16" s="2"/>
      <c r="G16" s="6">
        <v>0</v>
      </c>
      <c r="H16" s="3"/>
      <c r="I16" s="3"/>
      <c r="J16" s="3"/>
      <c r="K16" s="3"/>
      <c r="L16" s="3"/>
      <c r="M16" s="3"/>
      <c r="N16" s="3"/>
      <c r="O16" s="4" t="str">
        <f t="shared" si="0"/>
        <v/>
      </c>
    </row>
    <row r="17" spans="1:15" x14ac:dyDescent="0.2">
      <c r="A17" t="s">
        <v>18</v>
      </c>
      <c r="B17" t="s">
        <v>19</v>
      </c>
      <c r="C17" t="s">
        <v>13</v>
      </c>
      <c r="D17" t="s">
        <v>19</v>
      </c>
      <c r="E17" s="1">
        <v>2800</v>
      </c>
      <c r="F17" s="2">
        <v>6.8</v>
      </c>
      <c r="G17" s="6">
        <v>4.2300000000000004E-2</v>
      </c>
      <c r="H17" s="3"/>
      <c r="I17" s="3"/>
      <c r="J17" s="3"/>
      <c r="K17" s="3"/>
      <c r="L17" s="3"/>
      <c r="M17" s="3"/>
      <c r="N17" s="3"/>
      <c r="O17" s="4">
        <f t="shared" si="0"/>
        <v>2.4285714285714288</v>
      </c>
    </row>
    <row r="18" spans="1:15" x14ac:dyDescent="0.2">
      <c r="A18" t="s">
        <v>39</v>
      </c>
      <c r="B18" t="s">
        <v>40</v>
      </c>
      <c r="C18" t="s">
        <v>9</v>
      </c>
      <c r="D18" t="s">
        <v>41</v>
      </c>
      <c r="E18" s="1">
        <v>5200</v>
      </c>
      <c r="F18" s="2">
        <v>14.7</v>
      </c>
      <c r="G18" s="6">
        <v>3.78E-2</v>
      </c>
      <c r="H18" s="3">
        <v>6.9000000000000006E-2</v>
      </c>
      <c r="I18" s="3">
        <v>0.13800000000000001</v>
      </c>
      <c r="J18" s="3">
        <v>0</v>
      </c>
      <c r="K18" s="3">
        <v>0</v>
      </c>
      <c r="L18" s="3">
        <v>0</v>
      </c>
      <c r="M18" s="3">
        <v>1</v>
      </c>
      <c r="N18" s="3">
        <v>2.1000000000000001E-2</v>
      </c>
      <c r="O18" s="4">
        <f t="shared" si="0"/>
        <v>2.8269230769230766</v>
      </c>
    </row>
    <row r="19" spans="1:15" x14ac:dyDescent="0.2">
      <c r="A19" t="s">
        <v>39</v>
      </c>
      <c r="B19" t="s">
        <v>40</v>
      </c>
      <c r="C19" t="s">
        <v>9</v>
      </c>
      <c r="D19" t="s">
        <v>42</v>
      </c>
      <c r="E19" s="1">
        <v>4000</v>
      </c>
      <c r="F19" s="2">
        <v>0</v>
      </c>
      <c r="G19" s="6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4">
        <f t="shared" si="0"/>
        <v>0</v>
      </c>
    </row>
    <row r="20" spans="1:15" x14ac:dyDescent="0.2">
      <c r="A20" t="s">
        <v>39</v>
      </c>
      <c r="B20" t="s">
        <v>40</v>
      </c>
      <c r="C20" t="s">
        <v>9</v>
      </c>
      <c r="D20" t="s">
        <v>43</v>
      </c>
      <c r="E20" s="1">
        <v>4000</v>
      </c>
      <c r="F20" s="2">
        <v>0</v>
      </c>
      <c r="G20" s="6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4">
        <f t="shared" si="0"/>
        <v>0</v>
      </c>
    </row>
    <row r="21" spans="1:15" x14ac:dyDescent="0.2">
      <c r="A21" t="s">
        <v>39</v>
      </c>
      <c r="B21" t="s">
        <v>40</v>
      </c>
      <c r="C21" t="s">
        <v>10</v>
      </c>
      <c r="D21" t="s">
        <v>44</v>
      </c>
      <c r="E21" s="1">
        <v>5500</v>
      </c>
      <c r="F21" s="2">
        <v>12.2</v>
      </c>
      <c r="G21" s="6">
        <v>9.6600000000000005E-2</v>
      </c>
      <c r="H21" s="3">
        <v>0.50700000000000001</v>
      </c>
      <c r="I21" s="3">
        <v>0.41600000000000004</v>
      </c>
      <c r="J21" s="3">
        <v>8.5999999999999993E-2</v>
      </c>
      <c r="K21" s="3">
        <v>7.400000000000001E-2</v>
      </c>
      <c r="L21" s="3">
        <v>0.78500000000000003</v>
      </c>
      <c r="M21" s="3">
        <v>0</v>
      </c>
      <c r="N21" s="3">
        <v>0</v>
      </c>
      <c r="O21" s="4">
        <f t="shared" si="0"/>
        <v>2.2181818181818183</v>
      </c>
    </row>
    <row r="22" spans="1:15" x14ac:dyDescent="0.2">
      <c r="A22" t="s">
        <v>39</v>
      </c>
      <c r="B22" t="s">
        <v>40</v>
      </c>
      <c r="C22" t="s">
        <v>10</v>
      </c>
      <c r="D22" t="s">
        <v>45</v>
      </c>
      <c r="E22" s="1">
        <v>5000</v>
      </c>
      <c r="F22" s="2">
        <v>10.199999999999999</v>
      </c>
      <c r="G22" s="6">
        <v>3.0000000000000001E-3</v>
      </c>
      <c r="H22" s="3">
        <v>0.34499999999999997</v>
      </c>
      <c r="I22" s="3">
        <v>0.40399999999999997</v>
      </c>
      <c r="J22" s="3">
        <v>8.900000000000001E-2</v>
      </c>
      <c r="K22" s="3">
        <v>6.7000000000000004E-2</v>
      </c>
      <c r="L22" s="3">
        <v>0.83</v>
      </c>
      <c r="M22" s="3">
        <v>0</v>
      </c>
      <c r="N22" s="3">
        <v>0</v>
      </c>
      <c r="O22" s="4">
        <f t="shared" si="0"/>
        <v>2.04</v>
      </c>
    </row>
    <row r="23" spans="1:15" x14ac:dyDescent="0.2">
      <c r="A23" t="s">
        <v>39</v>
      </c>
      <c r="B23" t="s">
        <v>40</v>
      </c>
      <c r="C23" t="s">
        <v>10</v>
      </c>
      <c r="D23" t="s">
        <v>46</v>
      </c>
      <c r="E23" s="1">
        <v>4000</v>
      </c>
      <c r="F23" s="2">
        <v>0.6</v>
      </c>
      <c r="G23" s="6">
        <v>2.9999999999999997E-4</v>
      </c>
      <c r="H23" s="3">
        <v>4.2000000000000003E-2</v>
      </c>
      <c r="I23" s="3">
        <v>2.1000000000000001E-2</v>
      </c>
      <c r="J23" s="3">
        <v>0</v>
      </c>
      <c r="K23" s="3">
        <v>0</v>
      </c>
      <c r="L23" s="3">
        <v>0.83</v>
      </c>
      <c r="M23" s="3">
        <v>0</v>
      </c>
      <c r="N23" s="3">
        <v>0</v>
      </c>
      <c r="O23" s="4">
        <f t="shared" si="0"/>
        <v>0.15</v>
      </c>
    </row>
    <row r="24" spans="1:15" x14ac:dyDescent="0.2">
      <c r="A24" t="s">
        <v>39</v>
      </c>
      <c r="B24" t="s">
        <v>40</v>
      </c>
      <c r="C24" t="s">
        <v>11</v>
      </c>
      <c r="D24" t="s">
        <v>47</v>
      </c>
      <c r="E24" s="1">
        <v>6100</v>
      </c>
      <c r="F24" s="2">
        <v>12.3</v>
      </c>
      <c r="G24" s="6">
        <v>9.6099999999999991E-2</v>
      </c>
      <c r="H24" s="3">
        <v>0</v>
      </c>
      <c r="I24" s="3">
        <v>0</v>
      </c>
      <c r="J24" s="3">
        <v>0.22899999999999998</v>
      </c>
      <c r="K24" s="3">
        <v>0.28100000000000003</v>
      </c>
      <c r="L24" s="3">
        <v>0.57899999999999996</v>
      </c>
      <c r="M24" s="3">
        <v>0</v>
      </c>
      <c r="N24" s="3">
        <v>0</v>
      </c>
      <c r="O24" s="4">
        <f t="shared" si="0"/>
        <v>2.0163934426229511</v>
      </c>
    </row>
    <row r="25" spans="1:15" x14ac:dyDescent="0.2">
      <c r="A25" t="s">
        <v>39</v>
      </c>
      <c r="B25" t="s">
        <v>40</v>
      </c>
      <c r="C25" t="s">
        <v>11</v>
      </c>
      <c r="D25" t="s">
        <v>48</v>
      </c>
      <c r="E25" s="1">
        <v>4600</v>
      </c>
      <c r="F25" s="2">
        <v>9.1999999999999993</v>
      </c>
      <c r="G25" s="6">
        <v>2.8999999999999998E-2</v>
      </c>
      <c r="H25" s="3">
        <v>0</v>
      </c>
      <c r="I25" s="3">
        <v>0</v>
      </c>
      <c r="J25" s="3">
        <v>0.159</v>
      </c>
      <c r="K25" s="3">
        <v>0.157</v>
      </c>
      <c r="L25" s="3">
        <v>0.71799999999999997</v>
      </c>
      <c r="M25" s="3">
        <v>0</v>
      </c>
      <c r="N25" s="3">
        <v>0</v>
      </c>
      <c r="O25" s="4">
        <f t="shared" si="0"/>
        <v>2</v>
      </c>
    </row>
    <row r="26" spans="1:15" x14ac:dyDescent="0.2">
      <c r="A26" t="s">
        <v>39</v>
      </c>
      <c r="B26" t="s">
        <v>40</v>
      </c>
      <c r="C26" t="s">
        <v>11</v>
      </c>
      <c r="D26" t="s">
        <v>49</v>
      </c>
      <c r="E26" s="1">
        <v>3700</v>
      </c>
      <c r="F26" s="2">
        <v>5.3</v>
      </c>
      <c r="G26" s="6">
        <v>1.9E-2</v>
      </c>
      <c r="H26" s="3">
        <v>1.3000000000000001E-2</v>
      </c>
      <c r="I26" s="3">
        <v>1.1000000000000001E-2</v>
      </c>
      <c r="J26" s="3">
        <v>0.105</v>
      </c>
      <c r="K26" s="3">
        <v>0.105</v>
      </c>
      <c r="L26" s="3">
        <v>0.57200000000000006</v>
      </c>
      <c r="M26" s="3">
        <v>0</v>
      </c>
      <c r="N26" s="3">
        <v>0</v>
      </c>
      <c r="O26" s="4">
        <f t="shared" si="0"/>
        <v>1.4324324324324322</v>
      </c>
    </row>
    <row r="27" spans="1:15" x14ac:dyDescent="0.2">
      <c r="A27" t="s">
        <v>39</v>
      </c>
      <c r="B27" t="s">
        <v>40</v>
      </c>
      <c r="C27" t="s">
        <v>11</v>
      </c>
      <c r="D27" t="s">
        <v>50</v>
      </c>
      <c r="E27" s="1">
        <v>3200</v>
      </c>
      <c r="F27" s="2">
        <v>3.7</v>
      </c>
      <c r="G27" s="6">
        <v>5.7999999999999996E-3</v>
      </c>
      <c r="H27" s="3">
        <v>2.5000000000000001E-2</v>
      </c>
      <c r="I27" s="3">
        <v>0.01</v>
      </c>
      <c r="J27" s="3">
        <v>6.3E-2</v>
      </c>
      <c r="K27" s="3">
        <v>5.9000000000000004E-2</v>
      </c>
      <c r="L27" s="3">
        <v>0.66599999999999993</v>
      </c>
      <c r="M27" s="3">
        <v>0</v>
      </c>
      <c r="N27" s="3">
        <v>0</v>
      </c>
      <c r="O27" s="4">
        <f t="shared" si="0"/>
        <v>1.15625</v>
      </c>
    </row>
    <row r="28" spans="1:15" x14ac:dyDescent="0.2">
      <c r="A28" t="s">
        <v>39</v>
      </c>
      <c r="B28" t="s">
        <v>40</v>
      </c>
      <c r="C28" t="s">
        <v>11</v>
      </c>
      <c r="D28" t="s">
        <v>51</v>
      </c>
      <c r="E28" s="1">
        <v>3000</v>
      </c>
      <c r="F28" s="2">
        <v>0.5</v>
      </c>
      <c r="G28" s="6">
        <v>2.0000000000000001E-4</v>
      </c>
      <c r="H28" s="3">
        <v>0</v>
      </c>
      <c r="I28" s="3">
        <v>0</v>
      </c>
      <c r="J28" s="3">
        <v>9.0000000000000011E-3</v>
      </c>
      <c r="K28" s="3">
        <v>0.01</v>
      </c>
      <c r="L28" s="3">
        <v>0.68700000000000006</v>
      </c>
      <c r="M28" s="3">
        <v>0</v>
      </c>
      <c r="N28" s="3">
        <v>0</v>
      </c>
      <c r="O28" s="4">
        <f t="shared" si="0"/>
        <v>0.16666666666666666</v>
      </c>
    </row>
    <row r="29" spans="1:15" x14ac:dyDescent="0.2">
      <c r="A29" t="s">
        <v>39</v>
      </c>
      <c r="B29" t="s">
        <v>40</v>
      </c>
      <c r="C29" t="s">
        <v>11</v>
      </c>
      <c r="D29" t="s">
        <v>52</v>
      </c>
      <c r="E29" s="1">
        <v>3000</v>
      </c>
      <c r="F29" s="2">
        <v>0</v>
      </c>
      <c r="G29" s="6">
        <v>1E-4</v>
      </c>
      <c r="H29" s="3">
        <v>0</v>
      </c>
      <c r="I29" s="3">
        <v>0</v>
      </c>
      <c r="J29" s="3">
        <v>0</v>
      </c>
      <c r="K29" s="3">
        <v>0</v>
      </c>
      <c r="L29" s="3">
        <v>0.72799999999999998</v>
      </c>
      <c r="M29" s="3">
        <v>0</v>
      </c>
      <c r="N29" s="3">
        <v>0</v>
      </c>
      <c r="O29" s="4">
        <f t="shared" si="0"/>
        <v>0</v>
      </c>
    </row>
    <row r="30" spans="1:15" x14ac:dyDescent="0.2">
      <c r="A30" t="s">
        <v>39</v>
      </c>
      <c r="B30" t="s">
        <v>40</v>
      </c>
      <c r="C30" t="s">
        <v>12</v>
      </c>
      <c r="D30" t="s">
        <v>53</v>
      </c>
      <c r="E30" s="1">
        <v>2900</v>
      </c>
      <c r="F30" s="2">
        <v>6.7</v>
      </c>
      <c r="G30" s="6">
        <v>2.3E-3</v>
      </c>
      <c r="H30" s="3">
        <v>0</v>
      </c>
      <c r="I30" s="3">
        <v>0</v>
      </c>
      <c r="J30" s="3">
        <v>0.127</v>
      </c>
      <c r="K30" s="3">
        <v>0.12</v>
      </c>
      <c r="L30" s="3">
        <v>0.72499999999999998</v>
      </c>
      <c r="M30" s="3">
        <v>0</v>
      </c>
      <c r="N30" s="3">
        <v>0</v>
      </c>
      <c r="O30" s="4">
        <f t="shared" si="0"/>
        <v>2.3103448275862069</v>
      </c>
    </row>
    <row r="31" spans="1:15" x14ac:dyDescent="0.2">
      <c r="A31" t="s">
        <v>39</v>
      </c>
      <c r="B31" t="s">
        <v>40</v>
      </c>
      <c r="C31" t="s">
        <v>12</v>
      </c>
      <c r="D31" t="s">
        <v>54</v>
      </c>
      <c r="E31" s="1">
        <v>3200</v>
      </c>
      <c r="F31" s="2">
        <v>3.5</v>
      </c>
      <c r="G31" s="6">
        <v>0</v>
      </c>
      <c r="H31" s="3">
        <v>0</v>
      </c>
      <c r="I31" s="3">
        <v>0</v>
      </c>
      <c r="J31" s="3">
        <v>7.0000000000000007E-2</v>
      </c>
      <c r="K31" s="3">
        <v>6.9000000000000006E-2</v>
      </c>
      <c r="L31" s="3">
        <v>0.72400000000000009</v>
      </c>
      <c r="M31" s="3">
        <v>0</v>
      </c>
      <c r="N31" s="3">
        <v>0</v>
      </c>
      <c r="O31" s="4">
        <f t="shared" si="0"/>
        <v>1.09375</v>
      </c>
    </row>
    <row r="32" spans="1:15" x14ac:dyDescent="0.2">
      <c r="A32" t="s">
        <v>39</v>
      </c>
      <c r="B32" t="s">
        <v>40</v>
      </c>
      <c r="C32" t="s">
        <v>12</v>
      </c>
      <c r="D32" t="s">
        <v>55</v>
      </c>
      <c r="E32" s="1">
        <v>2600</v>
      </c>
      <c r="F32" s="2">
        <v>3.3</v>
      </c>
      <c r="G32" s="6">
        <v>2.0000000000000001E-4</v>
      </c>
      <c r="H32" s="3">
        <v>0</v>
      </c>
      <c r="I32" s="3">
        <v>0</v>
      </c>
      <c r="J32" s="3">
        <v>6.3E-2</v>
      </c>
      <c r="K32" s="3">
        <v>5.7999999999999996E-2</v>
      </c>
      <c r="L32" s="3">
        <v>0.748</v>
      </c>
      <c r="M32" s="3">
        <v>0</v>
      </c>
      <c r="N32" s="3">
        <v>0</v>
      </c>
      <c r="O32" s="4">
        <f t="shared" si="0"/>
        <v>1.2692307692307692</v>
      </c>
    </row>
    <row r="33" spans="1:15" x14ac:dyDescent="0.2">
      <c r="A33" t="s">
        <v>39</v>
      </c>
      <c r="B33" t="s">
        <v>40</v>
      </c>
      <c r="C33" t="s">
        <v>12</v>
      </c>
      <c r="D33" t="s">
        <v>56</v>
      </c>
      <c r="E33" s="1">
        <v>2500</v>
      </c>
      <c r="F33" s="2">
        <v>0</v>
      </c>
      <c r="G33" s="6">
        <v>0</v>
      </c>
      <c r="H33" s="3">
        <v>0</v>
      </c>
      <c r="I33" s="3">
        <v>0</v>
      </c>
      <c r="J33" s="3">
        <v>0</v>
      </c>
      <c r="K33" s="3">
        <v>0</v>
      </c>
      <c r="L33" s="3">
        <v>0.64599999999999991</v>
      </c>
      <c r="M33" s="3">
        <v>0</v>
      </c>
      <c r="N33" s="3">
        <v>0</v>
      </c>
      <c r="O33" s="4">
        <f t="shared" si="0"/>
        <v>0</v>
      </c>
    </row>
    <row r="34" spans="1:15" x14ac:dyDescent="0.2">
      <c r="A34" t="s">
        <v>39</v>
      </c>
      <c r="B34" t="s">
        <v>40</v>
      </c>
      <c r="C34" t="s">
        <v>12</v>
      </c>
      <c r="D34" t="s">
        <v>57</v>
      </c>
      <c r="E34" s="1">
        <v>2700</v>
      </c>
      <c r="F34" s="2">
        <v>0</v>
      </c>
      <c r="G34" s="6">
        <v>2E-3</v>
      </c>
      <c r="H34" s="3">
        <v>0</v>
      </c>
      <c r="I34" s="3">
        <v>0</v>
      </c>
      <c r="J34" s="3">
        <v>0</v>
      </c>
      <c r="K34" s="3">
        <v>0</v>
      </c>
      <c r="L34" s="3">
        <v>0.79400000000000004</v>
      </c>
      <c r="M34" s="3">
        <v>0</v>
      </c>
      <c r="N34" s="3">
        <v>0</v>
      </c>
      <c r="O34" s="4">
        <f t="shared" si="0"/>
        <v>0</v>
      </c>
    </row>
    <row r="35" spans="1:15" x14ac:dyDescent="0.2">
      <c r="A35" t="s">
        <v>39</v>
      </c>
      <c r="B35" t="s">
        <v>40</v>
      </c>
      <c r="C35" t="s">
        <v>14</v>
      </c>
      <c r="D35" t="s">
        <v>58</v>
      </c>
      <c r="E35" s="1"/>
      <c r="F35" s="2"/>
      <c r="G35" s="6">
        <v>0</v>
      </c>
      <c r="H35" s="3"/>
      <c r="I35" s="3"/>
      <c r="J35" s="3"/>
      <c r="K35" s="3"/>
      <c r="L35" s="3"/>
      <c r="M35" s="3"/>
      <c r="N35" s="3"/>
      <c r="O35" s="4" t="str">
        <f t="shared" si="0"/>
        <v/>
      </c>
    </row>
    <row r="36" spans="1:15" x14ac:dyDescent="0.2">
      <c r="A36" t="s">
        <v>39</v>
      </c>
      <c r="B36" t="s">
        <v>40</v>
      </c>
      <c r="C36" t="s">
        <v>13</v>
      </c>
      <c r="D36" t="s">
        <v>40</v>
      </c>
      <c r="E36" s="1">
        <v>2500</v>
      </c>
      <c r="F36" s="2">
        <v>5.6</v>
      </c>
      <c r="G36" s="6">
        <v>2.7699999999999999E-2</v>
      </c>
      <c r="H36" s="3"/>
      <c r="I36" s="3"/>
      <c r="J36" s="3"/>
      <c r="K36" s="3"/>
      <c r="L36" s="3"/>
      <c r="M36" s="3"/>
      <c r="N36" s="3"/>
      <c r="O36" s="4">
        <f t="shared" si="0"/>
        <v>2.2399999999999998</v>
      </c>
    </row>
    <row r="37" spans="1:15" x14ac:dyDescent="0.2">
      <c r="A37" t="s">
        <v>69</v>
      </c>
      <c r="B37" t="s">
        <v>0</v>
      </c>
      <c r="C37" t="s">
        <v>9</v>
      </c>
      <c r="D37" t="s">
        <v>70</v>
      </c>
      <c r="E37" s="1">
        <v>6500</v>
      </c>
      <c r="F37" s="2">
        <v>18.100000000000001</v>
      </c>
      <c r="G37" s="6">
        <v>2.7000000000000003E-2</v>
      </c>
      <c r="H37" s="3">
        <v>0.253</v>
      </c>
      <c r="I37" s="3">
        <v>0.27699999999999997</v>
      </c>
      <c r="J37" s="3">
        <v>0</v>
      </c>
      <c r="K37" s="3">
        <v>0</v>
      </c>
      <c r="L37" s="3">
        <v>0</v>
      </c>
      <c r="M37" s="3">
        <v>1</v>
      </c>
      <c r="N37" s="3">
        <v>1.8000000000000002E-2</v>
      </c>
      <c r="O37" s="4">
        <f t="shared" si="0"/>
        <v>2.7846153846153849</v>
      </c>
    </row>
    <row r="38" spans="1:15" x14ac:dyDescent="0.2">
      <c r="A38" t="s">
        <v>69</v>
      </c>
      <c r="B38" t="s">
        <v>0</v>
      </c>
      <c r="C38" t="s">
        <v>9</v>
      </c>
      <c r="D38" t="s">
        <v>71</v>
      </c>
      <c r="E38" s="1">
        <v>4500</v>
      </c>
      <c r="F38" s="2">
        <v>0</v>
      </c>
      <c r="G38" s="6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4">
        <f t="shared" si="0"/>
        <v>0</v>
      </c>
    </row>
    <row r="39" spans="1:15" x14ac:dyDescent="0.2">
      <c r="A39" t="s">
        <v>69</v>
      </c>
      <c r="B39" t="s">
        <v>0</v>
      </c>
      <c r="C39" t="s">
        <v>9</v>
      </c>
      <c r="D39" t="s">
        <v>72</v>
      </c>
      <c r="E39" s="1">
        <v>4000</v>
      </c>
      <c r="F39" s="2">
        <v>0</v>
      </c>
      <c r="G39" s="6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4">
        <f t="shared" si="0"/>
        <v>0</v>
      </c>
    </row>
    <row r="40" spans="1:15" x14ac:dyDescent="0.2">
      <c r="A40" t="s">
        <v>69</v>
      </c>
      <c r="B40" t="s">
        <v>0</v>
      </c>
      <c r="C40" t="s">
        <v>10</v>
      </c>
      <c r="D40" t="s">
        <v>73</v>
      </c>
      <c r="E40" s="1">
        <v>5300</v>
      </c>
      <c r="F40" s="2">
        <v>9</v>
      </c>
      <c r="G40" s="6">
        <v>9.7999999999999997E-3</v>
      </c>
      <c r="H40" s="3">
        <v>0.45500000000000002</v>
      </c>
      <c r="I40" s="3">
        <v>0.48499999999999999</v>
      </c>
      <c r="J40" s="3">
        <v>0.05</v>
      </c>
      <c r="K40" s="3">
        <v>2.1000000000000001E-2</v>
      </c>
      <c r="L40" s="3">
        <v>0.73799999999999999</v>
      </c>
      <c r="M40" s="3">
        <v>0</v>
      </c>
      <c r="N40" s="3">
        <v>0</v>
      </c>
      <c r="O40" s="4">
        <f t="shared" si="0"/>
        <v>1.6981132075471699</v>
      </c>
    </row>
    <row r="41" spans="1:15" x14ac:dyDescent="0.2">
      <c r="A41" t="s">
        <v>69</v>
      </c>
      <c r="B41" t="s">
        <v>0</v>
      </c>
      <c r="C41" t="s">
        <v>10</v>
      </c>
      <c r="D41" t="s">
        <v>74</v>
      </c>
      <c r="E41" s="1">
        <v>5200</v>
      </c>
      <c r="F41" s="2">
        <v>8</v>
      </c>
      <c r="G41" s="6">
        <v>1.84E-2</v>
      </c>
      <c r="H41" s="3">
        <v>0.26100000000000001</v>
      </c>
      <c r="I41" s="3">
        <v>0.21299999999999999</v>
      </c>
      <c r="J41" s="3">
        <v>0.10300000000000001</v>
      </c>
      <c r="K41" s="3">
        <v>4.8000000000000001E-2</v>
      </c>
      <c r="L41" s="3">
        <v>0.88099999999999989</v>
      </c>
      <c r="M41" s="3">
        <v>0</v>
      </c>
      <c r="N41" s="3">
        <v>0</v>
      </c>
      <c r="O41" s="4">
        <f t="shared" si="0"/>
        <v>1.5384615384615383</v>
      </c>
    </row>
    <row r="42" spans="1:15" x14ac:dyDescent="0.2">
      <c r="A42" t="s">
        <v>69</v>
      </c>
      <c r="B42" t="s">
        <v>0</v>
      </c>
      <c r="C42" t="s">
        <v>10</v>
      </c>
      <c r="D42" t="s">
        <v>75</v>
      </c>
      <c r="E42" s="1">
        <v>4600</v>
      </c>
      <c r="F42" s="2">
        <v>0.5</v>
      </c>
      <c r="G42" s="6">
        <v>8.9999999999999998E-4</v>
      </c>
      <c r="H42" s="3">
        <v>2.3E-2</v>
      </c>
      <c r="I42" s="3">
        <v>1.9E-2</v>
      </c>
      <c r="J42" s="3">
        <v>4.0000000000000001E-3</v>
      </c>
      <c r="K42" s="3">
        <v>2E-3</v>
      </c>
      <c r="L42" s="3">
        <v>0.78700000000000003</v>
      </c>
      <c r="M42" s="3">
        <v>0</v>
      </c>
      <c r="N42" s="3">
        <v>0</v>
      </c>
      <c r="O42" s="4">
        <f t="shared" si="0"/>
        <v>0.10869565217391305</v>
      </c>
    </row>
    <row r="43" spans="1:15" x14ac:dyDescent="0.2">
      <c r="A43" t="s">
        <v>69</v>
      </c>
      <c r="B43" t="s">
        <v>0</v>
      </c>
      <c r="C43" t="s">
        <v>11</v>
      </c>
      <c r="D43" t="s">
        <v>76</v>
      </c>
      <c r="E43" s="1">
        <v>5700</v>
      </c>
      <c r="F43" s="2">
        <v>11.6</v>
      </c>
      <c r="G43" s="6">
        <v>8.6199999999999999E-2</v>
      </c>
      <c r="H43" s="3">
        <v>0</v>
      </c>
      <c r="I43" s="3">
        <v>0</v>
      </c>
      <c r="J43" s="3">
        <v>0.23100000000000001</v>
      </c>
      <c r="K43" s="3">
        <v>0.28699999999999998</v>
      </c>
      <c r="L43" s="3">
        <v>0.67500000000000004</v>
      </c>
      <c r="M43" s="3">
        <v>0</v>
      </c>
      <c r="N43" s="3">
        <v>0</v>
      </c>
      <c r="O43" s="4">
        <f t="shared" si="0"/>
        <v>2.0350877192982453</v>
      </c>
    </row>
    <row r="44" spans="1:15" x14ac:dyDescent="0.2">
      <c r="A44" t="s">
        <v>69</v>
      </c>
      <c r="B44" t="s">
        <v>0</v>
      </c>
      <c r="C44" t="s">
        <v>11</v>
      </c>
      <c r="D44" t="s">
        <v>77</v>
      </c>
      <c r="E44" s="1">
        <v>5200</v>
      </c>
      <c r="F44" s="2">
        <v>10.1</v>
      </c>
      <c r="G44" s="6">
        <v>6.5599999999999992E-2</v>
      </c>
      <c r="H44" s="3">
        <v>0</v>
      </c>
      <c r="I44" s="3">
        <v>0</v>
      </c>
      <c r="J44" s="3">
        <v>0.20199999999999999</v>
      </c>
      <c r="K44" s="3">
        <v>0.22600000000000001</v>
      </c>
      <c r="L44" s="3">
        <v>0.78400000000000003</v>
      </c>
      <c r="M44" s="3">
        <v>0</v>
      </c>
      <c r="N44" s="3">
        <v>0</v>
      </c>
      <c r="O44" s="4">
        <f t="shared" si="0"/>
        <v>1.9423076923076921</v>
      </c>
    </row>
    <row r="45" spans="1:15" x14ac:dyDescent="0.2">
      <c r="A45" t="s">
        <v>69</v>
      </c>
      <c r="B45" t="s">
        <v>0</v>
      </c>
      <c r="C45" t="s">
        <v>11</v>
      </c>
      <c r="D45" t="s">
        <v>78</v>
      </c>
      <c r="E45" s="1">
        <v>3400</v>
      </c>
      <c r="F45" s="2">
        <v>5.2</v>
      </c>
      <c r="G45" s="6">
        <v>4.8999999999999998E-3</v>
      </c>
      <c r="H45" s="3">
        <v>0</v>
      </c>
      <c r="I45" s="3">
        <v>0</v>
      </c>
      <c r="J45" s="3">
        <v>0.106</v>
      </c>
      <c r="K45" s="3">
        <v>0.13100000000000001</v>
      </c>
      <c r="L45" s="3">
        <v>0.51300000000000001</v>
      </c>
      <c r="M45" s="3">
        <v>0</v>
      </c>
      <c r="N45" s="3">
        <v>0</v>
      </c>
      <c r="O45" s="4">
        <f t="shared" si="0"/>
        <v>1.5294117647058825</v>
      </c>
    </row>
    <row r="46" spans="1:15" x14ac:dyDescent="0.2">
      <c r="A46" t="s">
        <v>69</v>
      </c>
      <c r="B46" t="s">
        <v>0</v>
      </c>
      <c r="C46" t="s">
        <v>11</v>
      </c>
      <c r="D46" t="s">
        <v>79</v>
      </c>
      <c r="E46" s="1">
        <v>4200</v>
      </c>
      <c r="F46" s="2">
        <v>3.8</v>
      </c>
      <c r="G46" s="6">
        <v>1.2199999999999999E-2</v>
      </c>
      <c r="H46" s="3">
        <v>0</v>
      </c>
      <c r="I46" s="3">
        <v>0</v>
      </c>
      <c r="J46" s="3">
        <v>7.8E-2</v>
      </c>
      <c r="K46" s="3">
        <v>8.3000000000000004E-2</v>
      </c>
      <c r="L46" s="3">
        <v>0.63</v>
      </c>
      <c r="M46" s="3">
        <v>0</v>
      </c>
      <c r="N46" s="3">
        <v>0</v>
      </c>
      <c r="O46" s="4">
        <f t="shared" si="0"/>
        <v>0.90476190476190466</v>
      </c>
    </row>
    <row r="47" spans="1:15" x14ac:dyDescent="0.2">
      <c r="A47" t="s">
        <v>69</v>
      </c>
      <c r="B47" t="s">
        <v>0</v>
      </c>
      <c r="C47" t="s">
        <v>11</v>
      </c>
      <c r="D47" t="s">
        <v>80</v>
      </c>
      <c r="E47" s="1">
        <v>3500</v>
      </c>
      <c r="F47" s="2">
        <v>1.7</v>
      </c>
      <c r="G47" s="6">
        <v>3.4999999999999996E-3</v>
      </c>
      <c r="H47" s="3">
        <v>0</v>
      </c>
      <c r="I47" s="3">
        <v>0</v>
      </c>
      <c r="J47" s="3">
        <v>3.2000000000000001E-2</v>
      </c>
      <c r="K47" s="3">
        <v>3.7999999999999999E-2</v>
      </c>
      <c r="L47" s="3">
        <v>0.71700000000000008</v>
      </c>
      <c r="M47" s="3">
        <v>0</v>
      </c>
      <c r="N47" s="3">
        <v>0</v>
      </c>
      <c r="O47" s="4">
        <f t="shared" si="0"/>
        <v>0.48571428571428571</v>
      </c>
    </row>
    <row r="48" spans="1:15" x14ac:dyDescent="0.2">
      <c r="A48" t="s">
        <v>69</v>
      </c>
      <c r="B48" t="s">
        <v>0</v>
      </c>
      <c r="C48" t="s">
        <v>11</v>
      </c>
      <c r="D48" t="s">
        <v>81</v>
      </c>
      <c r="E48" s="1">
        <v>3200</v>
      </c>
      <c r="F48" s="2">
        <v>0.1</v>
      </c>
      <c r="G48" s="6">
        <v>4.4000000000000003E-3</v>
      </c>
      <c r="H48" s="3">
        <v>8.0000000000000002E-3</v>
      </c>
      <c r="I48" s="3">
        <v>6.9999999999999993E-3</v>
      </c>
      <c r="J48" s="3">
        <v>0</v>
      </c>
      <c r="K48" s="3">
        <v>0</v>
      </c>
      <c r="L48" s="3">
        <v>0.64700000000000002</v>
      </c>
      <c r="M48" s="3">
        <v>0</v>
      </c>
      <c r="N48" s="3">
        <v>0</v>
      </c>
      <c r="O48" s="4">
        <f t="shared" si="0"/>
        <v>3.125E-2</v>
      </c>
    </row>
    <row r="49" spans="1:15" x14ac:dyDescent="0.2">
      <c r="A49" t="s">
        <v>69</v>
      </c>
      <c r="B49" t="s">
        <v>0</v>
      </c>
      <c r="C49" t="s">
        <v>11</v>
      </c>
      <c r="D49" t="s">
        <v>82</v>
      </c>
      <c r="E49" s="1">
        <v>3100</v>
      </c>
      <c r="F49" s="2">
        <v>0</v>
      </c>
      <c r="G49" s="6">
        <v>1.6000000000000001E-3</v>
      </c>
      <c r="H49" s="3">
        <v>0</v>
      </c>
      <c r="I49" s="3">
        <v>0</v>
      </c>
      <c r="J49" s="3">
        <v>0</v>
      </c>
      <c r="K49" s="3">
        <v>0</v>
      </c>
      <c r="L49" s="3">
        <v>0.53500000000000003</v>
      </c>
      <c r="M49" s="3">
        <v>0</v>
      </c>
      <c r="N49" s="3">
        <v>0</v>
      </c>
      <c r="O49" s="4">
        <f t="shared" si="0"/>
        <v>0</v>
      </c>
    </row>
    <row r="50" spans="1:15" x14ac:dyDescent="0.2">
      <c r="A50" t="s">
        <v>69</v>
      </c>
      <c r="B50" t="s">
        <v>0</v>
      </c>
      <c r="C50" t="s">
        <v>12</v>
      </c>
      <c r="D50" t="s">
        <v>83</v>
      </c>
      <c r="E50" s="1">
        <v>4000</v>
      </c>
      <c r="F50" s="2">
        <v>7.1</v>
      </c>
      <c r="G50" s="6">
        <v>1.8E-3</v>
      </c>
      <c r="H50" s="3">
        <v>0</v>
      </c>
      <c r="I50" s="3">
        <v>0</v>
      </c>
      <c r="J50" s="3">
        <v>0.14899999999999999</v>
      </c>
      <c r="K50" s="3">
        <v>0.13699999999999998</v>
      </c>
      <c r="L50" s="3">
        <v>0.72499999999999998</v>
      </c>
      <c r="M50" s="3">
        <v>0</v>
      </c>
      <c r="N50" s="3">
        <v>0</v>
      </c>
      <c r="O50" s="4">
        <f t="shared" si="0"/>
        <v>1.7749999999999999</v>
      </c>
    </row>
    <row r="51" spans="1:15" x14ac:dyDescent="0.2">
      <c r="A51" t="s">
        <v>69</v>
      </c>
      <c r="B51" t="s">
        <v>0</v>
      </c>
      <c r="C51" t="s">
        <v>12</v>
      </c>
      <c r="D51" t="s">
        <v>84</v>
      </c>
      <c r="E51" s="1">
        <v>2500</v>
      </c>
      <c r="F51" s="2">
        <v>1.7</v>
      </c>
      <c r="G51" s="6">
        <v>4.0000000000000002E-4</v>
      </c>
      <c r="H51" s="3">
        <v>0</v>
      </c>
      <c r="I51" s="3">
        <v>0</v>
      </c>
      <c r="J51" s="3">
        <v>3.5000000000000003E-2</v>
      </c>
      <c r="K51" s="3">
        <v>0.02</v>
      </c>
      <c r="L51" s="3">
        <v>0.67500000000000004</v>
      </c>
      <c r="M51" s="3">
        <v>0</v>
      </c>
      <c r="N51" s="3">
        <v>0</v>
      </c>
      <c r="O51" s="4">
        <f t="shared" si="0"/>
        <v>0.67999999999999994</v>
      </c>
    </row>
    <row r="52" spans="1:15" x14ac:dyDescent="0.2">
      <c r="A52" t="s">
        <v>69</v>
      </c>
      <c r="B52" t="s">
        <v>0</v>
      </c>
      <c r="C52" t="s">
        <v>12</v>
      </c>
      <c r="D52" t="s">
        <v>85</v>
      </c>
      <c r="E52" s="1">
        <v>2800</v>
      </c>
      <c r="F52" s="2">
        <v>0.5</v>
      </c>
      <c r="G52" s="6">
        <v>4.0000000000000002E-4</v>
      </c>
      <c r="H52" s="3">
        <v>0</v>
      </c>
      <c r="I52" s="3">
        <v>0</v>
      </c>
      <c r="J52" s="3">
        <v>1.1000000000000001E-2</v>
      </c>
      <c r="K52" s="3">
        <v>9.0000000000000011E-3</v>
      </c>
      <c r="L52" s="3">
        <v>0.82299999999999995</v>
      </c>
      <c r="M52" s="3">
        <v>0</v>
      </c>
      <c r="N52" s="3">
        <v>0</v>
      </c>
      <c r="O52" s="4">
        <f t="shared" si="0"/>
        <v>0.17857142857142858</v>
      </c>
    </row>
    <row r="53" spans="1:15" x14ac:dyDescent="0.2">
      <c r="A53" t="s">
        <v>69</v>
      </c>
      <c r="B53" t="s">
        <v>0</v>
      </c>
      <c r="C53" t="s">
        <v>12</v>
      </c>
      <c r="D53" t="s">
        <v>86</v>
      </c>
      <c r="E53" s="1">
        <v>2500</v>
      </c>
      <c r="F53" s="2">
        <v>0</v>
      </c>
      <c r="G53" s="6">
        <v>0</v>
      </c>
      <c r="H53" s="3">
        <v>0</v>
      </c>
      <c r="I53" s="3">
        <v>0</v>
      </c>
      <c r="J53" s="3">
        <v>0</v>
      </c>
      <c r="K53" s="3">
        <v>0</v>
      </c>
      <c r="L53" s="3">
        <v>0.71299999999999997</v>
      </c>
      <c r="M53" s="3">
        <v>0</v>
      </c>
      <c r="N53" s="3">
        <v>0</v>
      </c>
      <c r="O53" s="4">
        <f t="shared" si="0"/>
        <v>0</v>
      </c>
    </row>
    <row r="54" spans="1:15" x14ac:dyDescent="0.2">
      <c r="A54" t="s">
        <v>69</v>
      </c>
      <c r="B54" t="s">
        <v>0</v>
      </c>
      <c r="C54" t="s">
        <v>13</v>
      </c>
      <c r="D54" t="s">
        <v>0</v>
      </c>
      <c r="E54" s="1">
        <v>2300</v>
      </c>
      <c r="F54" s="2">
        <v>6</v>
      </c>
      <c r="G54" s="6">
        <v>2.7400000000000001E-2</v>
      </c>
      <c r="H54" s="3"/>
      <c r="I54" s="3"/>
      <c r="J54" s="3"/>
      <c r="K54" s="3"/>
      <c r="L54" s="3"/>
      <c r="M54" s="3"/>
      <c r="N54" s="3"/>
      <c r="O54" s="4">
        <f t="shared" si="0"/>
        <v>2.6086956521739131</v>
      </c>
    </row>
    <row r="55" spans="1:15" x14ac:dyDescent="0.2">
      <c r="A55" t="s">
        <v>69</v>
      </c>
      <c r="B55" t="s">
        <v>0</v>
      </c>
      <c r="C55" t="s">
        <v>14</v>
      </c>
      <c r="D55" t="s">
        <v>87</v>
      </c>
      <c r="E55" s="1"/>
      <c r="F55" s="2"/>
      <c r="G55" s="6">
        <v>0</v>
      </c>
      <c r="H55" s="3"/>
      <c r="I55" s="3"/>
      <c r="J55" s="3"/>
      <c r="K55" s="3"/>
      <c r="L55" s="3"/>
      <c r="M55" s="3"/>
      <c r="N55" s="3"/>
      <c r="O55" s="4" t="str">
        <f t="shared" si="0"/>
        <v/>
      </c>
    </row>
    <row r="56" spans="1:15" x14ac:dyDescent="0.2">
      <c r="A56" t="s">
        <v>88</v>
      </c>
      <c r="B56" t="s">
        <v>15</v>
      </c>
      <c r="C56" t="s">
        <v>9</v>
      </c>
      <c r="D56" t="s">
        <v>89</v>
      </c>
      <c r="E56" s="1">
        <v>6600</v>
      </c>
      <c r="F56" s="2">
        <v>20.7</v>
      </c>
      <c r="G56" s="6">
        <v>8.8300000000000003E-2</v>
      </c>
      <c r="H56" s="3">
        <v>0.22600000000000001</v>
      </c>
      <c r="I56" s="3">
        <v>0.43099999999999999</v>
      </c>
      <c r="J56" s="3">
        <v>0</v>
      </c>
      <c r="K56" s="3">
        <v>0</v>
      </c>
      <c r="L56" s="3">
        <v>0</v>
      </c>
      <c r="M56" s="3">
        <v>1</v>
      </c>
      <c r="N56" s="3">
        <v>1.7000000000000001E-2</v>
      </c>
      <c r="O56" s="4">
        <f t="shared" si="0"/>
        <v>3.1363636363636362</v>
      </c>
    </row>
    <row r="57" spans="1:15" x14ac:dyDescent="0.2">
      <c r="A57" t="s">
        <v>88</v>
      </c>
      <c r="B57" t="s">
        <v>15</v>
      </c>
      <c r="C57" t="s">
        <v>9</v>
      </c>
      <c r="D57" t="s">
        <v>90</v>
      </c>
      <c r="E57" s="1">
        <v>4000</v>
      </c>
      <c r="F57" s="2">
        <v>0</v>
      </c>
      <c r="G57" s="6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4">
        <f t="shared" si="0"/>
        <v>0</v>
      </c>
    </row>
    <row r="58" spans="1:15" x14ac:dyDescent="0.2">
      <c r="A58" t="s">
        <v>88</v>
      </c>
      <c r="B58" t="s">
        <v>15</v>
      </c>
      <c r="C58" t="s">
        <v>9</v>
      </c>
      <c r="D58" t="s">
        <v>91</v>
      </c>
      <c r="E58" s="1">
        <v>4000</v>
      </c>
      <c r="F58" s="2">
        <v>0</v>
      </c>
      <c r="G58" s="6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4">
        <f t="shared" si="0"/>
        <v>0</v>
      </c>
    </row>
    <row r="59" spans="1:15" x14ac:dyDescent="0.2">
      <c r="A59" t="s">
        <v>88</v>
      </c>
      <c r="B59" t="s">
        <v>15</v>
      </c>
      <c r="C59" t="s">
        <v>9</v>
      </c>
      <c r="D59" t="s">
        <v>92</v>
      </c>
      <c r="E59" s="1">
        <v>4000</v>
      </c>
      <c r="F59" s="2">
        <v>0</v>
      </c>
      <c r="G59" s="6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4">
        <f t="shared" si="0"/>
        <v>0</v>
      </c>
    </row>
    <row r="60" spans="1:15" x14ac:dyDescent="0.2">
      <c r="A60" t="s">
        <v>88</v>
      </c>
      <c r="B60" t="s">
        <v>15</v>
      </c>
      <c r="C60" t="s">
        <v>10</v>
      </c>
      <c r="D60" t="s">
        <v>93</v>
      </c>
      <c r="E60" s="1">
        <v>6900</v>
      </c>
      <c r="F60" s="2">
        <v>15.3</v>
      </c>
      <c r="G60" s="6">
        <v>0.12480000000000001</v>
      </c>
      <c r="H60" s="3">
        <v>0.61299999999999999</v>
      </c>
      <c r="I60" s="3">
        <v>0.44900000000000001</v>
      </c>
      <c r="J60" s="3">
        <v>0.122</v>
      </c>
      <c r="K60" s="3">
        <v>5.7000000000000002E-2</v>
      </c>
      <c r="L60" s="3">
        <v>0.75700000000000001</v>
      </c>
      <c r="M60" s="3">
        <v>0</v>
      </c>
      <c r="N60" s="3">
        <v>0</v>
      </c>
      <c r="O60" s="4">
        <f t="shared" si="0"/>
        <v>2.2173913043478262</v>
      </c>
    </row>
    <row r="61" spans="1:15" x14ac:dyDescent="0.2">
      <c r="A61" t="s">
        <v>88</v>
      </c>
      <c r="B61" t="s">
        <v>15</v>
      </c>
      <c r="C61" t="s">
        <v>10</v>
      </c>
      <c r="D61" t="s">
        <v>94</v>
      </c>
      <c r="E61" s="1">
        <v>4900</v>
      </c>
      <c r="F61" s="2">
        <v>3.5</v>
      </c>
      <c r="G61" s="6">
        <v>4.0000000000000001E-3</v>
      </c>
      <c r="H61" s="3">
        <v>0.13200000000000001</v>
      </c>
      <c r="I61" s="3">
        <v>0.10099999999999999</v>
      </c>
      <c r="J61" s="3">
        <v>3.1E-2</v>
      </c>
      <c r="K61" s="3">
        <v>1.1000000000000001E-2</v>
      </c>
      <c r="L61" s="3">
        <v>0.69499999999999995</v>
      </c>
      <c r="M61" s="3">
        <v>0</v>
      </c>
      <c r="N61" s="3">
        <v>0</v>
      </c>
      <c r="O61" s="4">
        <f t="shared" si="0"/>
        <v>0.71428571428571419</v>
      </c>
    </row>
    <row r="62" spans="1:15" x14ac:dyDescent="0.2">
      <c r="A62" t="s">
        <v>88</v>
      </c>
      <c r="B62" t="s">
        <v>15</v>
      </c>
      <c r="C62" t="s">
        <v>10</v>
      </c>
      <c r="D62" t="s">
        <v>95</v>
      </c>
      <c r="E62" s="1">
        <v>4100</v>
      </c>
      <c r="F62" s="2">
        <v>1.2</v>
      </c>
      <c r="G62" s="6">
        <v>2.0000000000000001E-4</v>
      </c>
      <c r="H62" s="3">
        <v>1.1000000000000001E-2</v>
      </c>
      <c r="I62" s="3">
        <v>8.0000000000000002E-3</v>
      </c>
      <c r="J62" s="3">
        <v>2.6000000000000002E-2</v>
      </c>
      <c r="K62" s="3">
        <v>0.01</v>
      </c>
      <c r="L62" s="3">
        <v>0.80200000000000005</v>
      </c>
      <c r="M62" s="3">
        <v>0</v>
      </c>
      <c r="N62" s="3">
        <v>0</v>
      </c>
      <c r="O62" s="4">
        <f t="shared" si="0"/>
        <v>0.29268292682926833</v>
      </c>
    </row>
    <row r="63" spans="1:15" x14ac:dyDescent="0.2">
      <c r="A63" t="s">
        <v>88</v>
      </c>
      <c r="B63" t="s">
        <v>15</v>
      </c>
      <c r="C63" t="s">
        <v>11</v>
      </c>
      <c r="D63" t="s">
        <v>96</v>
      </c>
      <c r="E63" s="1">
        <v>6600</v>
      </c>
      <c r="F63" s="2">
        <v>13.3</v>
      </c>
      <c r="G63" s="6">
        <v>0.10339999999999999</v>
      </c>
      <c r="H63" s="3">
        <v>0</v>
      </c>
      <c r="I63" s="3">
        <v>0</v>
      </c>
      <c r="J63" s="3">
        <v>0.25600000000000001</v>
      </c>
      <c r="K63" s="3">
        <v>0.27600000000000002</v>
      </c>
      <c r="L63" s="3">
        <v>0.71299999999999997</v>
      </c>
      <c r="M63" s="3">
        <v>0</v>
      </c>
      <c r="N63" s="3">
        <v>0</v>
      </c>
      <c r="O63" s="4">
        <f t="shared" si="0"/>
        <v>2.0151515151515156</v>
      </c>
    </row>
    <row r="64" spans="1:15" x14ac:dyDescent="0.2">
      <c r="A64" t="s">
        <v>88</v>
      </c>
      <c r="B64" t="s">
        <v>15</v>
      </c>
      <c r="C64" t="s">
        <v>11</v>
      </c>
      <c r="D64" t="s">
        <v>97</v>
      </c>
      <c r="E64" s="1">
        <v>4100</v>
      </c>
      <c r="F64" s="2">
        <v>5.9</v>
      </c>
      <c r="G64" s="6">
        <v>7.6E-3</v>
      </c>
      <c r="H64" s="3">
        <v>0</v>
      </c>
      <c r="I64" s="3">
        <v>0</v>
      </c>
      <c r="J64" s="3">
        <v>0.128</v>
      </c>
      <c r="K64" s="3">
        <v>0.14099999999999999</v>
      </c>
      <c r="L64" s="3">
        <v>0.57100000000000006</v>
      </c>
      <c r="M64" s="3">
        <v>0</v>
      </c>
      <c r="N64" s="3">
        <v>0</v>
      </c>
      <c r="O64" s="4">
        <f t="shared" si="0"/>
        <v>1.4390243902439026</v>
      </c>
    </row>
    <row r="65" spans="1:15" x14ac:dyDescent="0.2">
      <c r="A65" t="s">
        <v>88</v>
      </c>
      <c r="B65" t="s">
        <v>15</v>
      </c>
      <c r="C65" t="s">
        <v>11</v>
      </c>
      <c r="D65" t="s">
        <v>98</v>
      </c>
      <c r="E65" s="1">
        <v>5100</v>
      </c>
      <c r="F65" s="2">
        <v>5.9</v>
      </c>
      <c r="G65" s="6">
        <v>1.01E-2</v>
      </c>
      <c r="H65" s="3">
        <v>0</v>
      </c>
      <c r="I65" s="3">
        <v>0</v>
      </c>
      <c r="J65" s="3">
        <v>0.11900000000000001</v>
      </c>
      <c r="K65" s="3">
        <v>0.127</v>
      </c>
      <c r="L65" s="3">
        <v>0.63</v>
      </c>
      <c r="M65" s="3">
        <v>0</v>
      </c>
      <c r="N65" s="3">
        <v>0</v>
      </c>
      <c r="O65" s="4">
        <f t="shared" si="0"/>
        <v>1.1568627450980393</v>
      </c>
    </row>
    <row r="66" spans="1:15" x14ac:dyDescent="0.2">
      <c r="A66" t="s">
        <v>88</v>
      </c>
      <c r="B66" t="s">
        <v>15</v>
      </c>
      <c r="C66" t="s">
        <v>11</v>
      </c>
      <c r="D66" t="s">
        <v>99</v>
      </c>
      <c r="E66" s="1">
        <v>3800</v>
      </c>
      <c r="F66" s="2">
        <v>3.5</v>
      </c>
      <c r="G66" s="6">
        <v>8.199999999999999E-3</v>
      </c>
      <c r="H66" s="3">
        <v>0</v>
      </c>
      <c r="I66" s="3">
        <v>0</v>
      </c>
      <c r="J66" s="3">
        <v>7.0999999999999994E-2</v>
      </c>
      <c r="K66" s="3">
        <v>0.08</v>
      </c>
      <c r="L66" s="3">
        <v>0.64900000000000002</v>
      </c>
      <c r="M66" s="3">
        <v>0</v>
      </c>
      <c r="N66" s="3">
        <v>0</v>
      </c>
      <c r="O66" s="4">
        <f t="shared" si="0"/>
        <v>0.92105263157894746</v>
      </c>
    </row>
    <row r="67" spans="1:15" x14ac:dyDescent="0.2">
      <c r="A67" t="s">
        <v>88</v>
      </c>
      <c r="B67" t="s">
        <v>15</v>
      </c>
      <c r="C67" t="s">
        <v>11</v>
      </c>
      <c r="D67" t="s">
        <v>100</v>
      </c>
      <c r="E67" s="1">
        <v>3000</v>
      </c>
      <c r="F67" s="2">
        <v>0.7</v>
      </c>
      <c r="G67" s="6">
        <v>2.0000000000000001E-4</v>
      </c>
      <c r="H67" s="3">
        <v>1.1000000000000001E-2</v>
      </c>
      <c r="I67" s="3">
        <v>6.9999999999999993E-3</v>
      </c>
      <c r="J67" s="3">
        <v>1.1000000000000001E-2</v>
      </c>
      <c r="K67" s="3">
        <v>0.01</v>
      </c>
      <c r="L67" s="3">
        <v>0.59200000000000008</v>
      </c>
      <c r="M67" s="3">
        <v>0</v>
      </c>
      <c r="N67" s="3">
        <v>0</v>
      </c>
      <c r="O67" s="4">
        <f t="shared" ref="O67:O130" si="1">IFERROR(F67/(E67/1000),"")</f>
        <v>0.23333333333333331</v>
      </c>
    </row>
    <row r="68" spans="1:15" x14ac:dyDescent="0.2">
      <c r="A68" t="s">
        <v>88</v>
      </c>
      <c r="B68" t="s">
        <v>15</v>
      </c>
      <c r="C68" t="s">
        <v>11</v>
      </c>
      <c r="D68" t="s">
        <v>101</v>
      </c>
      <c r="E68" s="1">
        <v>3000</v>
      </c>
      <c r="F68" s="2">
        <v>0</v>
      </c>
      <c r="G68" s="6">
        <v>1E-4</v>
      </c>
      <c r="H68" s="3">
        <v>0</v>
      </c>
      <c r="I68" s="3">
        <v>0</v>
      </c>
      <c r="J68" s="3">
        <v>0</v>
      </c>
      <c r="K68" s="3">
        <v>0</v>
      </c>
      <c r="L68" s="3">
        <v>0.72</v>
      </c>
      <c r="M68" s="3">
        <v>0</v>
      </c>
      <c r="N68" s="3">
        <v>0</v>
      </c>
      <c r="O68" s="4">
        <f t="shared" si="1"/>
        <v>0</v>
      </c>
    </row>
    <row r="69" spans="1:15" x14ac:dyDescent="0.2">
      <c r="A69" t="s">
        <v>88</v>
      </c>
      <c r="B69" t="s">
        <v>15</v>
      </c>
      <c r="C69" t="s">
        <v>12</v>
      </c>
      <c r="D69" t="s">
        <v>102</v>
      </c>
      <c r="E69" s="1">
        <v>4100</v>
      </c>
      <c r="F69" s="2">
        <v>10.8</v>
      </c>
      <c r="G69" s="6">
        <v>8.1099999999999992E-2</v>
      </c>
      <c r="H69" s="3">
        <v>6.9999999999999993E-3</v>
      </c>
      <c r="I69" s="3">
        <v>4.0000000000000001E-3</v>
      </c>
      <c r="J69" s="3">
        <v>0.19600000000000001</v>
      </c>
      <c r="K69" s="3">
        <v>0.247</v>
      </c>
      <c r="L69" s="3">
        <v>0.75800000000000001</v>
      </c>
      <c r="M69" s="3">
        <v>0</v>
      </c>
      <c r="N69" s="3">
        <v>0</v>
      </c>
      <c r="O69" s="4">
        <f t="shared" si="1"/>
        <v>2.6341463414634152</v>
      </c>
    </row>
    <row r="70" spans="1:15" x14ac:dyDescent="0.2">
      <c r="A70" t="s">
        <v>88</v>
      </c>
      <c r="B70" t="s">
        <v>15</v>
      </c>
      <c r="C70" t="s">
        <v>12</v>
      </c>
      <c r="D70" t="s">
        <v>103</v>
      </c>
      <c r="E70" s="1">
        <v>2500</v>
      </c>
      <c r="F70" s="2">
        <v>2</v>
      </c>
      <c r="G70" s="6">
        <v>0</v>
      </c>
      <c r="H70" s="3">
        <v>0</v>
      </c>
      <c r="I70" s="3">
        <v>0</v>
      </c>
      <c r="J70" s="3">
        <v>0.04</v>
      </c>
      <c r="K70" s="3">
        <v>0.04</v>
      </c>
      <c r="L70" s="3">
        <v>0.63300000000000001</v>
      </c>
      <c r="M70" s="3">
        <v>0</v>
      </c>
      <c r="N70" s="3">
        <v>0</v>
      </c>
      <c r="O70" s="4">
        <f t="shared" si="1"/>
        <v>0.8</v>
      </c>
    </row>
    <row r="71" spans="1:15" x14ac:dyDescent="0.2">
      <c r="A71" t="s">
        <v>88</v>
      </c>
      <c r="B71" t="s">
        <v>15</v>
      </c>
      <c r="C71" t="s">
        <v>12</v>
      </c>
      <c r="D71" t="s">
        <v>104</v>
      </c>
      <c r="E71" s="1">
        <v>2500</v>
      </c>
      <c r="F71" s="2">
        <v>0</v>
      </c>
      <c r="G71" s="6">
        <v>0</v>
      </c>
      <c r="H71" s="3">
        <v>0</v>
      </c>
      <c r="I71" s="3">
        <v>0</v>
      </c>
      <c r="J71" s="3">
        <v>0</v>
      </c>
      <c r="K71" s="3">
        <v>0</v>
      </c>
      <c r="L71" s="3">
        <v>0.69200000000000006</v>
      </c>
      <c r="M71" s="3">
        <v>0</v>
      </c>
      <c r="N71" s="3">
        <v>0</v>
      </c>
      <c r="O71" s="4">
        <f t="shared" si="1"/>
        <v>0</v>
      </c>
    </row>
    <row r="72" spans="1:15" x14ac:dyDescent="0.2">
      <c r="A72" t="s">
        <v>88</v>
      </c>
      <c r="B72" t="s">
        <v>15</v>
      </c>
      <c r="C72" t="s">
        <v>12</v>
      </c>
      <c r="D72" t="s">
        <v>105</v>
      </c>
      <c r="E72" s="1">
        <v>3100</v>
      </c>
      <c r="F72" s="2">
        <v>0</v>
      </c>
      <c r="G72" s="6">
        <v>2.0000000000000001E-4</v>
      </c>
      <c r="H72" s="3">
        <v>0</v>
      </c>
      <c r="I72" s="3">
        <v>0</v>
      </c>
      <c r="J72" s="3">
        <v>0</v>
      </c>
      <c r="K72" s="3">
        <v>0</v>
      </c>
      <c r="L72" s="3">
        <v>0.72400000000000009</v>
      </c>
      <c r="M72" s="3">
        <v>0</v>
      </c>
      <c r="N72" s="3">
        <v>0</v>
      </c>
      <c r="O72" s="4">
        <f t="shared" si="1"/>
        <v>0</v>
      </c>
    </row>
    <row r="73" spans="1:15" x14ac:dyDescent="0.2">
      <c r="A73" t="s">
        <v>88</v>
      </c>
      <c r="B73" t="s">
        <v>15</v>
      </c>
      <c r="C73" t="s">
        <v>14</v>
      </c>
      <c r="D73" t="s">
        <v>106</v>
      </c>
      <c r="E73" s="1"/>
      <c r="F73" s="2"/>
      <c r="G73" s="6">
        <v>0</v>
      </c>
      <c r="H73" s="3"/>
      <c r="I73" s="3"/>
      <c r="J73" s="3"/>
      <c r="K73" s="3"/>
      <c r="L73" s="3"/>
      <c r="M73" s="3"/>
      <c r="N73" s="3"/>
      <c r="O73" s="4" t="str">
        <f t="shared" si="1"/>
        <v/>
      </c>
    </row>
    <row r="74" spans="1:15" x14ac:dyDescent="0.2">
      <c r="A74" t="s">
        <v>88</v>
      </c>
      <c r="B74" t="s">
        <v>15</v>
      </c>
      <c r="C74" t="s">
        <v>13</v>
      </c>
      <c r="D74" t="s">
        <v>15</v>
      </c>
      <c r="E74" s="1">
        <v>3200</v>
      </c>
      <c r="F74" s="2">
        <v>7.3</v>
      </c>
      <c r="G74" s="6">
        <v>5.5500000000000001E-2</v>
      </c>
      <c r="H74" s="3"/>
      <c r="I74" s="3"/>
      <c r="J74" s="3"/>
      <c r="K74" s="3"/>
      <c r="L74" s="3"/>
      <c r="M74" s="3"/>
      <c r="N74" s="3"/>
      <c r="O74" s="4">
        <f t="shared" si="1"/>
        <v>2.28125</v>
      </c>
    </row>
    <row r="75" spans="1:15" x14ac:dyDescent="0.2">
      <c r="A75" t="s">
        <v>107</v>
      </c>
      <c r="B75" t="s">
        <v>108</v>
      </c>
      <c r="C75" t="s">
        <v>9</v>
      </c>
      <c r="D75" t="s">
        <v>109</v>
      </c>
      <c r="E75" s="1">
        <v>5700</v>
      </c>
      <c r="F75" s="2">
        <v>15.4</v>
      </c>
      <c r="G75" s="6">
        <v>3.3700000000000001E-2</v>
      </c>
      <c r="H75" s="3">
        <v>0.10199999999999999</v>
      </c>
      <c r="I75" s="3">
        <v>3.6000000000000004E-2</v>
      </c>
      <c r="J75" s="3">
        <v>0</v>
      </c>
      <c r="K75" s="3">
        <v>0</v>
      </c>
      <c r="L75" s="3">
        <v>0</v>
      </c>
      <c r="M75" s="3">
        <v>1</v>
      </c>
      <c r="N75" s="3">
        <v>1.9E-2</v>
      </c>
      <c r="O75" s="4">
        <f t="shared" si="1"/>
        <v>2.7017543859649122</v>
      </c>
    </row>
    <row r="76" spans="1:15" x14ac:dyDescent="0.2">
      <c r="A76" t="s">
        <v>107</v>
      </c>
      <c r="B76" t="s">
        <v>108</v>
      </c>
      <c r="C76" t="s">
        <v>9</v>
      </c>
      <c r="D76" t="s">
        <v>110</v>
      </c>
      <c r="E76" s="1">
        <v>4000</v>
      </c>
      <c r="F76" s="2">
        <v>0</v>
      </c>
      <c r="G76" s="6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4">
        <f t="shared" si="1"/>
        <v>0</v>
      </c>
    </row>
    <row r="77" spans="1:15" x14ac:dyDescent="0.2">
      <c r="A77" t="s">
        <v>107</v>
      </c>
      <c r="B77" t="s">
        <v>108</v>
      </c>
      <c r="C77" t="s">
        <v>10</v>
      </c>
      <c r="D77" t="s">
        <v>111</v>
      </c>
      <c r="E77" s="1">
        <v>4800</v>
      </c>
      <c r="F77" s="2">
        <v>11.8</v>
      </c>
      <c r="G77" s="6">
        <v>1.2999999999999999E-3</v>
      </c>
      <c r="H77" s="3">
        <v>0.45100000000000001</v>
      </c>
      <c r="I77" s="3">
        <v>0.55600000000000005</v>
      </c>
      <c r="J77" s="3">
        <v>8.199999999999999E-2</v>
      </c>
      <c r="K77" s="3">
        <v>4.2999999999999997E-2</v>
      </c>
      <c r="L77" s="3">
        <v>0.80400000000000005</v>
      </c>
      <c r="M77" s="3">
        <v>0</v>
      </c>
      <c r="N77" s="3">
        <v>0</v>
      </c>
      <c r="O77" s="4">
        <f t="shared" si="1"/>
        <v>2.4583333333333335</v>
      </c>
    </row>
    <row r="78" spans="1:15" x14ac:dyDescent="0.2">
      <c r="A78" t="s">
        <v>107</v>
      </c>
      <c r="B78" t="s">
        <v>108</v>
      </c>
      <c r="C78" t="s">
        <v>10</v>
      </c>
      <c r="D78" t="s">
        <v>112</v>
      </c>
      <c r="E78" s="1">
        <v>4500</v>
      </c>
      <c r="F78" s="2">
        <v>6.2</v>
      </c>
      <c r="G78" s="6">
        <v>3.9000000000000003E-3</v>
      </c>
      <c r="H78" s="3">
        <v>0.2</v>
      </c>
      <c r="I78" s="3">
        <v>0.221</v>
      </c>
      <c r="J78" s="3">
        <v>0.06</v>
      </c>
      <c r="K78" s="3">
        <v>3.2000000000000001E-2</v>
      </c>
      <c r="L78" s="3">
        <v>0.79599999999999993</v>
      </c>
      <c r="M78" s="3">
        <v>0</v>
      </c>
      <c r="N78" s="3">
        <v>0</v>
      </c>
      <c r="O78" s="4">
        <f t="shared" si="1"/>
        <v>1.3777777777777778</v>
      </c>
    </row>
    <row r="79" spans="1:15" x14ac:dyDescent="0.2">
      <c r="A79" t="s">
        <v>107</v>
      </c>
      <c r="B79" t="s">
        <v>108</v>
      </c>
      <c r="C79" t="s">
        <v>10</v>
      </c>
      <c r="D79" t="s">
        <v>113</v>
      </c>
      <c r="E79" s="1">
        <v>4400</v>
      </c>
      <c r="F79" s="2">
        <v>2.5</v>
      </c>
      <c r="G79" s="6">
        <v>5.9999999999999995E-4</v>
      </c>
      <c r="H79" s="3">
        <v>0.14899999999999999</v>
      </c>
      <c r="I79" s="3">
        <v>6.7000000000000004E-2</v>
      </c>
      <c r="J79" s="3">
        <v>1.1000000000000001E-2</v>
      </c>
      <c r="K79" s="3">
        <v>0.01</v>
      </c>
      <c r="L79" s="3">
        <v>0.746</v>
      </c>
      <c r="M79" s="3">
        <v>0</v>
      </c>
      <c r="N79" s="3">
        <v>0</v>
      </c>
      <c r="O79" s="4">
        <f t="shared" si="1"/>
        <v>0.56818181818181812</v>
      </c>
    </row>
    <row r="80" spans="1:15" x14ac:dyDescent="0.2">
      <c r="A80" t="s">
        <v>107</v>
      </c>
      <c r="B80" t="s">
        <v>108</v>
      </c>
      <c r="C80" t="s">
        <v>10</v>
      </c>
      <c r="D80" t="s">
        <v>114</v>
      </c>
      <c r="E80" s="1">
        <v>6300</v>
      </c>
      <c r="F80" s="2">
        <v>0</v>
      </c>
      <c r="G80" s="6">
        <v>0.1091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4">
        <f t="shared" si="1"/>
        <v>0</v>
      </c>
    </row>
    <row r="81" spans="1:15" x14ac:dyDescent="0.2">
      <c r="A81" t="s">
        <v>107</v>
      </c>
      <c r="B81" t="s">
        <v>108</v>
      </c>
      <c r="C81" t="s">
        <v>11</v>
      </c>
      <c r="D81" t="s">
        <v>115</v>
      </c>
      <c r="E81" s="1">
        <v>5900</v>
      </c>
      <c r="F81" s="2">
        <v>9.4</v>
      </c>
      <c r="G81" s="6">
        <v>9.4800000000000009E-2</v>
      </c>
      <c r="H81" s="3">
        <v>4.0000000000000001E-3</v>
      </c>
      <c r="I81" s="3">
        <v>4.0000000000000001E-3</v>
      </c>
      <c r="J81" s="3">
        <v>0.191</v>
      </c>
      <c r="K81" s="3">
        <v>0.20100000000000001</v>
      </c>
      <c r="L81" s="3">
        <v>0.59599999999999997</v>
      </c>
      <c r="M81" s="3">
        <v>0</v>
      </c>
      <c r="N81" s="3">
        <v>0</v>
      </c>
      <c r="O81" s="4">
        <f t="shared" si="1"/>
        <v>1.5932203389830508</v>
      </c>
    </row>
    <row r="82" spans="1:15" x14ac:dyDescent="0.2">
      <c r="A82" t="s">
        <v>107</v>
      </c>
      <c r="B82" t="s">
        <v>108</v>
      </c>
      <c r="C82" t="s">
        <v>11</v>
      </c>
      <c r="D82" t="s">
        <v>116</v>
      </c>
      <c r="E82" s="1">
        <v>4900</v>
      </c>
      <c r="F82" s="2">
        <v>10.4</v>
      </c>
      <c r="G82" s="6">
        <v>5.7999999999999996E-2</v>
      </c>
      <c r="H82" s="3">
        <v>2.7000000000000003E-2</v>
      </c>
      <c r="I82" s="3">
        <v>3.5000000000000003E-2</v>
      </c>
      <c r="J82" s="3">
        <v>0.17399999999999999</v>
      </c>
      <c r="K82" s="3">
        <v>0.17800000000000002</v>
      </c>
      <c r="L82" s="3">
        <v>0.755</v>
      </c>
      <c r="M82" s="3">
        <v>0</v>
      </c>
      <c r="N82" s="3">
        <v>0</v>
      </c>
      <c r="O82" s="4">
        <f t="shared" si="1"/>
        <v>2.1224489795918369</v>
      </c>
    </row>
    <row r="83" spans="1:15" x14ac:dyDescent="0.2">
      <c r="A83" t="s">
        <v>107</v>
      </c>
      <c r="B83" t="s">
        <v>108</v>
      </c>
      <c r="C83" t="s">
        <v>11</v>
      </c>
      <c r="D83" t="s">
        <v>117</v>
      </c>
      <c r="E83" s="1">
        <v>4700</v>
      </c>
      <c r="F83" s="2">
        <v>7.6</v>
      </c>
      <c r="G83" s="6">
        <v>1.9900000000000001E-2</v>
      </c>
      <c r="H83" s="3">
        <v>1.2E-2</v>
      </c>
      <c r="I83" s="3">
        <v>1.6E-2</v>
      </c>
      <c r="J83" s="3">
        <v>0.153</v>
      </c>
      <c r="K83" s="3">
        <v>0.127</v>
      </c>
      <c r="L83" s="3">
        <v>0.65300000000000002</v>
      </c>
      <c r="M83" s="3">
        <v>0</v>
      </c>
      <c r="N83" s="3">
        <v>0</v>
      </c>
      <c r="O83" s="4">
        <f t="shared" si="1"/>
        <v>1.6170212765957446</v>
      </c>
    </row>
    <row r="84" spans="1:15" x14ac:dyDescent="0.2">
      <c r="A84" t="s">
        <v>107</v>
      </c>
      <c r="B84" t="s">
        <v>108</v>
      </c>
      <c r="C84" t="s">
        <v>11</v>
      </c>
      <c r="D84" t="s">
        <v>118</v>
      </c>
      <c r="E84" s="1">
        <v>3000</v>
      </c>
      <c r="F84" s="2">
        <v>1.4</v>
      </c>
      <c r="G84" s="6">
        <v>4.0000000000000002E-4</v>
      </c>
      <c r="H84" s="3">
        <v>0.02</v>
      </c>
      <c r="I84" s="3">
        <v>2.3E-2</v>
      </c>
      <c r="J84" s="3">
        <v>1.8000000000000002E-2</v>
      </c>
      <c r="K84" s="3">
        <v>2.3E-2</v>
      </c>
      <c r="L84" s="3">
        <v>0.53600000000000003</v>
      </c>
      <c r="M84" s="3">
        <v>0</v>
      </c>
      <c r="N84" s="3">
        <v>0</v>
      </c>
      <c r="O84" s="4">
        <f t="shared" si="1"/>
        <v>0.46666666666666662</v>
      </c>
    </row>
    <row r="85" spans="1:15" x14ac:dyDescent="0.2">
      <c r="A85" t="s">
        <v>107</v>
      </c>
      <c r="B85" t="s">
        <v>108</v>
      </c>
      <c r="C85" t="s">
        <v>11</v>
      </c>
      <c r="D85" t="s">
        <v>119</v>
      </c>
      <c r="E85" s="1">
        <v>3000</v>
      </c>
      <c r="F85" s="2">
        <v>0.8</v>
      </c>
      <c r="G85" s="6">
        <v>1E-4</v>
      </c>
      <c r="H85" s="3">
        <v>1.2E-2</v>
      </c>
      <c r="I85" s="3">
        <v>1.3000000000000001E-2</v>
      </c>
      <c r="J85" s="3">
        <v>1.1000000000000001E-2</v>
      </c>
      <c r="K85" s="3">
        <v>0.01</v>
      </c>
      <c r="L85" s="3">
        <v>0.57100000000000006</v>
      </c>
      <c r="M85" s="3">
        <v>0</v>
      </c>
      <c r="N85" s="3">
        <v>0</v>
      </c>
      <c r="O85" s="4">
        <f t="shared" si="1"/>
        <v>0.26666666666666666</v>
      </c>
    </row>
    <row r="86" spans="1:15" x14ac:dyDescent="0.2">
      <c r="A86" t="s">
        <v>107</v>
      </c>
      <c r="B86" t="s">
        <v>108</v>
      </c>
      <c r="C86" t="s">
        <v>11</v>
      </c>
      <c r="D86" t="s">
        <v>120</v>
      </c>
      <c r="E86" s="1">
        <v>3000</v>
      </c>
      <c r="F86" s="2">
        <v>0</v>
      </c>
      <c r="G86" s="6">
        <v>1E-3</v>
      </c>
      <c r="H86" s="3">
        <v>0</v>
      </c>
      <c r="I86" s="3">
        <v>0</v>
      </c>
      <c r="J86" s="3">
        <v>0</v>
      </c>
      <c r="K86" s="3">
        <v>0</v>
      </c>
      <c r="L86" s="3">
        <v>0.63</v>
      </c>
      <c r="M86" s="3">
        <v>0</v>
      </c>
      <c r="N86" s="3">
        <v>0</v>
      </c>
      <c r="O86" s="4">
        <f t="shared" si="1"/>
        <v>0</v>
      </c>
    </row>
    <row r="87" spans="1:15" x14ac:dyDescent="0.2">
      <c r="A87" t="s">
        <v>107</v>
      </c>
      <c r="B87" t="s">
        <v>108</v>
      </c>
      <c r="C87" t="s">
        <v>12</v>
      </c>
      <c r="D87" t="s">
        <v>121</v>
      </c>
      <c r="E87" s="1">
        <v>4500</v>
      </c>
      <c r="F87" s="2">
        <v>12.5</v>
      </c>
      <c r="G87" s="6">
        <v>0.1074</v>
      </c>
      <c r="H87" s="3">
        <v>8.0000000000000002E-3</v>
      </c>
      <c r="I87" s="3">
        <v>9.0000000000000011E-3</v>
      </c>
      <c r="J87" s="3">
        <v>0.19500000000000001</v>
      </c>
      <c r="K87" s="3">
        <v>0.30199999999999999</v>
      </c>
      <c r="L87" s="3">
        <v>0.72</v>
      </c>
      <c r="M87" s="3">
        <v>0</v>
      </c>
      <c r="N87" s="3">
        <v>0</v>
      </c>
      <c r="O87" s="4">
        <f t="shared" si="1"/>
        <v>2.7777777777777777</v>
      </c>
    </row>
    <row r="88" spans="1:15" x14ac:dyDescent="0.2">
      <c r="A88" t="s">
        <v>107</v>
      </c>
      <c r="B88" t="s">
        <v>108</v>
      </c>
      <c r="C88" t="s">
        <v>12</v>
      </c>
      <c r="D88" t="s">
        <v>122</v>
      </c>
      <c r="E88" s="1">
        <v>3000</v>
      </c>
      <c r="F88" s="2">
        <v>5.0999999999999996</v>
      </c>
      <c r="G88" s="6">
        <v>0</v>
      </c>
      <c r="H88" s="3">
        <v>1.6E-2</v>
      </c>
      <c r="I88" s="3">
        <v>2.1000000000000001E-2</v>
      </c>
      <c r="J88" s="3">
        <v>9.6000000000000002E-2</v>
      </c>
      <c r="K88" s="3">
        <v>6.3E-2</v>
      </c>
      <c r="L88" s="3">
        <v>0</v>
      </c>
      <c r="M88" s="3">
        <v>0</v>
      </c>
      <c r="N88" s="3">
        <v>0</v>
      </c>
      <c r="O88" s="4">
        <f t="shared" si="1"/>
        <v>1.7</v>
      </c>
    </row>
    <row r="89" spans="1:15" x14ac:dyDescent="0.2">
      <c r="A89" t="s">
        <v>107</v>
      </c>
      <c r="B89" t="s">
        <v>108</v>
      </c>
      <c r="C89" t="s">
        <v>12</v>
      </c>
      <c r="D89" t="s">
        <v>123</v>
      </c>
      <c r="E89" s="1">
        <v>2500</v>
      </c>
      <c r="F89" s="2">
        <v>0.5</v>
      </c>
      <c r="G89" s="6">
        <v>1E-4</v>
      </c>
      <c r="H89" s="3">
        <v>0</v>
      </c>
      <c r="I89" s="3">
        <v>0</v>
      </c>
      <c r="J89" s="3">
        <v>1.1000000000000001E-2</v>
      </c>
      <c r="K89" s="3">
        <v>0.01</v>
      </c>
      <c r="L89" s="3">
        <v>0.75800000000000001</v>
      </c>
      <c r="M89" s="3">
        <v>0</v>
      </c>
      <c r="N89" s="3">
        <v>0</v>
      </c>
      <c r="O89" s="4">
        <f t="shared" si="1"/>
        <v>0.2</v>
      </c>
    </row>
    <row r="90" spans="1:15" x14ac:dyDescent="0.2">
      <c r="A90" t="s">
        <v>107</v>
      </c>
      <c r="B90" t="s">
        <v>108</v>
      </c>
      <c r="C90" t="s">
        <v>13</v>
      </c>
      <c r="D90" t="s">
        <v>108</v>
      </c>
      <c r="E90" s="1">
        <v>3000</v>
      </c>
      <c r="F90" s="2">
        <v>6.5</v>
      </c>
      <c r="G90" s="6">
        <v>2.69E-2</v>
      </c>
      <c r="H90" s="3"/>
      <c r="I90" s="3"/>
      <c r="J90" s="3"/>
      <c r="K90" s="3"/>
      <c r="L90" s="3"/>
      <c r="M90" s="3"/>
      <c r="N90" s="3"/>
      <c r="O90" s="4">
        <f t="shared" si="1"/>
        <v>2.1666666666666665</v>
      </c>
    </row>
    <row r="91" spans="1:15" x14ac:dyDescent="0.2">
      <c r="A91" t="s">
        <v>107</v>
      </c>
      <c r="B91" t="s">
        <v>108</v>
      </c>
      <c r="C91" t="s">
        <v>12</v>
      </c>
      <c r="D91" t="s">
        <v>124</v>
      </c>
      <c r="E91" s="1">
        <v>3000</v>
      </c>
      <c r="F91" s="2">
        <v>0</v>
      </c>
      <c r="G91" s="6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4">
        <f t="shared" si="1"/>
        <v>0</v>
      </c>
    </row>
    <row r="92" spans="1:15" x14ac:dyDescent="0.2">
      <c r="A92" t="s">
        <v>107</v>
      </c>
      <c r="B92" t="s">
        <v>108</v>
      </c>
      <c r="C92" t="s">
        <v>12</v>
      </c>
      <c r="D92" t="s">
        <v>125</v>
      </c>
      <c r="E92" s="1">
        <v>2500</v>
      </c>
      <c r="F92" s="2">
        <v>0</v>
      </c>
      <c r="G92" s="6">
        <v>0</v>
      </c>
      <c r="H92" s="3">
        <v>0</v>
      </c>
      <c r="I92" s="3">
        <v>0</v>
      </c>
      <c r="J92" s="3">
        <v>0</v>
      </c>
      <c r="K92" s="3">
        <v>0</v>
      </c>
      <c r="L92" s="3">
        <v>0.72400000000000009</v>
      </c>
      <c r="M92" s="3">
        <v>0</v>
      </c>
      <c r="N92" s="3">
        <v>0</v>
      </c>
      <c r="O92" s="4">
        <f t="shared" si="1"/>
        <v>0</v>
      </c>
    </row>
    <row r="93" spans="1:15" x14ac:dyDescent="0.2">
      <c r="A93" t="s">
        <v>107</v>
      </c>
      <c r="B93" t="s">
        <v>108</v>
      </c>
      <c r="C93" t="s">
        <v>14</v>
      </c>
      <c r="D93" t="s">
        <v>126</v>
      </c>
      <c r="E93" s="1"/>
      <c r="F93" s="2"/>
      <c r="G93" s="6">
        <v>0</v>
      </c>
      <c r="H93" s="3"/>
      <c r="I93" s="3"/>
      <c r="J93" s="3"/>
      <c r="K93" s="3"/>
      <c r="L93" s="3"/>
      <c r="M93" s="3"/>
      <c r="N93" s="3"/>
      <c r="O93" s="4" t="str">
        <f t="shared" si="1"/>
        <v/>
      </c>
    </row>
    <row r="94" spans="1:15" x14ac:dyDescent="0.2">
      <c r="A94" t="s">
        <v>127</v>
      </c>
      <c r="B94" t="s">
        <v>128</v>
      </c>
      <c r="C94" t="s">
        <v>9</v>
      </c>
      <c r="D94" t="s">
        <v>129</v>
      </c>
      <c r="E94" s="1">
        <v>5500</v>
      </c>
      <c r="F94" s="2">
        <v>19.600000000000001</v>
      </c>
      <c r="G94" s="6">
        <v>4.7199999999999999E-2</v>
      </c>
      <c r="H94" s="3">
        <v>0.23100000000000001</v>
      </c>
      <c r="I94" s="3">
        <v>0.26600000000000001</v>
      </c>
      <c r="J94" s="3">
        <v>0</v>
      </c>
      <c r="K94" s="3">
        <v>0</v>
      </c>
      <c r="L94" s="3">
        <v>0</v>
      </c>
      <c r="M94" s="3">
        <v>1</v>
      </c>
      <c r="N94" s="3">
        <v>1.9E-2</v>
      </c>
      <c r="O94" s="4">
        <f t="shared" si="1"/>
        <v>3.5636363636363639</v>
      </c>
    </row>
    <row r="95" spans="1:15" x14ac:dyDescent="0.2">
      <c r="A95" t="s">
        <v>127</v>
      </c>
      <c r="B95" t="s">
        <v>128</v>
      </c>
      <c r="C95" t="s">
        <v>9</v>
      </c>
      <c r="D95" t="s">
        <v>130</v>
      </c>
      <c r="E95" s="1">
        <v>4000</v>
      </c>
      <c r="F95" s="2">
        <v>0</v>
      </c>
      <c r="G95" s="6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4">
        <f t="shared" si="1"/>
        <v>0</v>
      </c>
    </row>
    <row r="96" spans="1:15" x14ac:dyDescent="0.2">
      <c r="A96" t="s">
        <v>127</v>
      </c>
      <c r="B96" t="s">
        <v>128</v>
      </c>
      <c r="C96" t="s">
        <v>9</v>
      </c>
      <c r="D96" t="s">
        <v>131</v>
      </c>
      <c r="E96" s="1">
        <v>4500</v>
      </c>
      <c r="F96" s="2">
        <v>0</v>
      </c>
      <c r="G96" s="6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4">
        <f t="shared" si="1"/>
        <v>0</v>
      </c>
    </row>
    <row r="97" spans="1:15" x14ac:dyDescent="0.2">
      <c r="A97" t="s">
        <v>127</v>
      </c>
      <c r="B97" t="s">
        <v>128</v>
      </c>
      <c r="C97" t="s">
        <v>10</v>
      </c>
      <c r="D97" t="s">
        <v>132</v>
      </c>
      <c r="E97" s="1">
        <v>5400</v>
      </c>
      <c r="F97" s="2">
        <v>9.1</v>
      </c>
      <c r="G97" s="6">
        <v>1.26E-2</v>
      </c>
      <c r="H97" s="3">
        <v>0.39299999999999996</v>
      </c>
      <c r="I97" s="3">
        <v>0.44500000000000001</v>
      </c>
      <c r="J97" s="3">
        <v>4.2999999999999997E-2</v>
      </c>
      <c r="K97" s="3">
        <v>1.9E-2</v>
      </c>
      <c r="L97" s="3">
        <v>0.82</v>
      </c>
      <c r="M97" s="3">
        <v>0</v>
      </c>
      <c r="N97" s="3">
        <v>0</v>
      </c>
      <c r="O97" s="4">
        <f t="shared" si="1"/>
        <v>1.6851851851851851</v>
      </c>
    </row>
    <row r="98" spans="1:15" x14ac:dyDescent="0.2">
      <c r="A98" t="s">
        <v>127</v>
      </c>
      <c r="B98" t="s">
        <v>128</v>
      </c>
      <c r="C98" t="s">
        <v>10</v>
      </c>
      <c r="D98" t="s">
        <v>133</v>
      </c>
      <c r="E98" s="1">
        <v>5300</v>
      </c>
      <c r="F98" s="2">
        <v>10.3</v>
      </c>
      <c r="G98" s="6">
        <v>8.2799999999999999E-2</v>
      </c>
      <c r="H98" s="3">
        <v>0.34600000000000003</v>
      </c>
      <c r="I98" s="3">
        <v>0.27100000000000002</v>
      </c>
      <c r="J98" s="3">
        <v>0.11800000000000001</v>
      </c>
      <c r="K98" s="3">
        <v>5.0999999999999997E-2</v>
      </c>
      <c r="L98" s="3">
        <v>0.76900000000000002</v>
      </c>
      <c r="M98" s="3">
        <v>0</v>
      </c>
      <c r="N98" s="3">
        <v>0</v>
      </c>
      <c r="O98" s="4">
        <f t="shared" si="1"/>
        <v>1.9433962264150946</v>
      </c>
    </row>
    <row r="99" spans="1:15" x14ac:dyDescent="0.2">
      <c r="A99" t="s">
        <v>127</v>
      </c>
      <c r="B99" t="s">
        <v>128</v>
      </c>
      <c r="C99" t="s">
        <v>10</v>
      </c>
      <c r="D99" t="s">
        <v>134</v>
      </c>
      <c r="E99" s="1">
        <v>4400</v>
      </c>
      <c r="F99" s="2">
        <v>0.6</v>
      </c>
      <c r="G99" s="6">
        <v>5.9999999999999995E-4</v>
      </c>
      <c r="H99" s="3">
        <v>1.3000000000000001E-2</v>
      </c>
      <c r="I99" s="3">
        <v>6.0000000000000001E-3</v>
      </c>
      <c r="J99" s="3">
        <v>9.0000000000000011E-3</v>
      </c>
      <c r="K99" s="3">
        <v>4.0000000000000001E-3</v>
      </c>
      <c r="L99" s="3">
        <v>0.78700000000000003</v>
      </c>
      <c r="M99" s="3">
        <v>0</v>
      </c>
      <c r="N99" s="3">
        <v>0</v>
      </c>
      <c r="O99" s="4">
        <f t="shared" si="1"/>
        <v>0.13636363636363635</v>
      </c>
    </row>
    <row r="100" spans="1:15" x14ac:dyDescent="0.2">
      <c r="A100" t="s">
        <v>127</v>
      </c>
      <c r="B100" t="s">
        <v>128</v>
      </c>
      <c r="C100" t="s">
        <v>10</v>
      </c>
      <c r="D100" t="s">
        <v>135</v>
      </c>
      <c r="E100" s="1">
        <v>4000</v>
      </c>
      <c r="F100" s="2">
        <v>0</v>
      </c>
      <c r="G100" s="6">
        <v>1E-4</v>
      </c>
      <c r="H100" s="3">
        <v>0</v>
      </c>
      <c r="I100" s="3">
        <v>0</v>
      </c>
      <c r="J100" s="3">
        <v>0</v>
      </c>
      <c r="K100" s="3">
        <v>0</v>
      </c>
      <c r="L100" s="3">
        <v>0.78700000000000003</v>
      </c>
      <c r="M100" s="3">
        <v>0</v>
      </c>
      <c r="N100" s="3">
        <v>0</v>
      </c>
      <c r="O100" s="4">
        <f t="shared" si="1"/>
        <v>0</v>
      </c>
    </row>
    <row r="101" spans="1:15" x14ac:dyDescent="0.2">
      <c r="A101" t="s">
        <v>127</v>
      </c>
      <c r="B101" t="s">
        <v>128</v>
      </c>
      <c r="C101" t="s">
        <v>11</v>
      </c>
      <c r="D101" t="s">
        <v>136</v>
      </c>
      <c r="E101" s="1">
        <v>7300</v>
      </c>
      <c r="F101" s="2">
        <v>16.399999999999999</v>
      </c>
      <c r="G101" s="6">
        <v>0.11220000000000001</v>
      </c>
      <c r="H101" s="3">
        <v>6.9999999999999993E-3</v>
      </c>
      <c r="I101" s="3">
        <v>3.0000000000000001E-3</v>
      </c>
      <c r="J101" s="3">
        <v>0.307</v>
      </c>
      <c r="K101" s="3">
        <v>0.313</v>
      </c>
      <c r="L101" s="3">
        <v>0.63400000000000001</v>
      </c>
      <c r="M101" s="3">
        <v>0</v>
      </c>
      <c r="N101" s="3">
        <v>0</v>
      </c>
      <c r="O101" s="4">
        <f t="shared" si="1"/>
        <v>2.2465753424657531</v>
      </c>
    </row>
    <row r="102" spans="1:15" x14ac:dyDescent="0.2">
      <c r="A102" t="s">
        <v>127</v>
      </c>
      <c r="B102" t="s">
        <v>128</v>
      </c>
      <c r="C102" t="s">
        <v>11</v>
      </c>
      <c r="D102" t="s">
        <v>137</v>
      </c>
      <c r="E102" s="1">
        <v>5800</v>
      </c>
      <c r="F102" s="2">
        <v>9.1</v>
      </c>
      <c r="G102" s="6">
        <v>9.3000000000000013E-2</v>
      </c>
      <c r="H102" s="3">
        <v>0.01</v>
      </c>
      <c r="I102" s="3">
        <v>9.0000000000000011E-3</v>
      </c>
      <c r="J102" s="3">
        <v>0.16699999999999998</v>
      </c>
      <c r="K102" s="3">
        <v>0.20100000000000001</v>
      </c>
      <c r="L102" s="3">
        <v>0.59200000000000008</v>
      </c>
      <c r="M102" s="3">
        <v>0</v>
      </c>
      <c r="N102" s="3">
        <v>0</v>
      </c>
      <c r="O102" s="4">
        <f t="shared" si="1"/>
        <v>1.5689655172413792</v>
      </c>
    </row>
    <row r="103" spans="1:15" x14ac:dyDescent="0.2">
      <c r="A103" t="s">
        <v>127</v>
      </c>
      <c r="B103" t="s">
        <v>128</v>
      </c>
      <c r="C103" t="s">
        <v>11</v>
      </c>
      <c r="D103" t="s">
        <v>138</v>
      </c>
      <c r="E103" s="1">
        <v>4300</v>
      </c>
      <c r="F103" s="2">
        <v>6.5</v>
      </c>
      <c r="G103" s="6">
        <v>3.32E-2</v>
      </c>
      <c r="H103" s="3">
        <v>0</v>
      </c>
      <c r="I103" s="3">
        <v>0</v>
      </c>
      <c r="J103" s="3">
        <v>0.125</v>
      </c>
      <c r="K103" s="3">
        <v>0.16399999999999998</v>
      </c>
      <c r="L103" s="3">
        <v>0.64900000000000002</v>
      </c>
      <c r="M103" s="3">
        <v>0</v>
      </c>
      <c r="N103" s="3">
        <v>0</v>
      </c>
      <c r="O103" s="4">
        <f t="shared" si="1"/>
        <v>1.5116279069767442</v>
      </c>
    </row>
    <row r="104" spans="1:15" x14ac:dyDescent="0.2">
      <c r="A104" t="s">
        <v>127</v>
      </c>
      <c r="B104" t="s">
        <v>128</v>
      </c>
      <c r="C104" t="s">
        <v>11</v>
      </c>
      <c r="D104" t="s">
        <v>139</v>
      </c>
      <c r="E104" s="1">
        <v>3000</v>
      </c>
      <c r="F104" s="2">
        <v>0.6</v>
      </c>
      <c r="G104" s="6">
        <v>1E-4</v>
      </c>
      <c r="H104" s="3">
        <v>0</v>
      </c>
      <c r="I104" s="3">
        <v>0</v>
      </c>
      <c r="J104" s="3">
        <v>1.2E-2</v>
      </c>
      <c r="K104" s="3">
        <v>1.1000000000000001E-2</v>
      </c>
      <c r="L104" s="3">
        <v>0.70400000000000007</v>
      </c>
      <c r="M104" s="3">
        <v>0</v>
      </c>
      <c r="N104" s="3">
        <v>0</v>
      </c>
      <c r="O104" s="4">
        <f t="shared" si="1"/>
        <v>0.19999999999999998</v>
      </c>
    </row>
    <row r="105" spans="1:15" x14ac:dyDescent="0.2">
      <c r="A105" t="s">
        <v>127</v>
      </c>
      <c r="B105" t="s">
        <v>128</v>
      </c>
      <c r="C105" t="s">
        <v>11</v>
      </c>
      <c r="D105" t="s">
        <v>140</v>
      </c>
      <c r="E105" s="1">
        <v>3000</v>
      </c>
      <c r="F105" s="2">
        <v>0</v>
      </c>
      <c r="G105" s="6">
        <v>8.0000000000000004E-4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4">
        <f t="shared" si="1"/>
        <v>0</v>
      </c>
    </row>
    <row r="106" spans="1:15" x14ac:dyDescent="0.2">
      <c r="A106" t="s">
        <v>127</v>
      </c>
      <c r="B106" t="s">
        <v>128</v>
      </c>
      <c r="C106" t="s">
        <v>11</v>
      </c>
      <c r="D106" t="s">
        <v>141</v>
      </c>
      <c r="E106" s="1">
        <v>3000</v>
      </c>
      <c r="F106" s="2">
        <v>0</v>
      </c>
      <c r="G106" s="6">
        <v>1E-4</v>
      </c>
      <c r="H106" s="3">
        <v>0</v>
      </c>
      <c r="I106" s="3">
        <v>0</v>
      </c>
      <c r="J106" s="3">
        <v>0</v>
      </c>
      <c r="K106" s="3">
        <v>0</v>
      </c>
      <c r="L106" s="3">
        <v>0.63</v>
      </c>
      <c r="M106" s="3">
        <v>0</v>
      </c>
      <c r="N106" s="3">
        <v>0</v>
      </c>
      <c r="O106" s="4">
        <f t="shared" si="1"/>
        <v>0</v>
      </c>
    </row>
    <row r="107" spans="1:15" x14ac:dyDescent="0.2">
      <c r="A107" t="s">
        <v>127</v>
      </c>
      <c r="B107" t="s">
        <v>128</v>
      </c>
      <c r="C107" t="s">
        <v>12</v>
      </c>
      <c r="D107" t="s">
        <v>142</v>
      </c>
      <c r="E107" s="1">
        <v>3300</v>
      </c>
      <c r="F107" s="2">
        <v>7.9</v>
      </c>
      <c r="G107" s="6">
        <v>2.98E-2</v>
      </c>
      <c r="H107" s="3">
        <v>0</v>
      </c>
      <c r="I107" s="3">
        <v>0</v>
      </c>
      <c r="J107" s="3">
        <v>0.155</v>
      </c>
      <c r="K107" s="3">
        <v>0.16200000000000001</v>
      </c>
      <c r="L107" s="3">
        <v>0.71900000000000008</v>
      </c>
      <c r="M107" s="3">
        <v>0</v>
      </c>
      <c r="N107" s="3">
        <v>0</v>
      </c>
      <c r="O107" s="4">
        <f t="shared" si="1"/>
        <v>2.393939393939394</v>
      </c>
    </row>
    <row r="108" spans="1:15" x14ac:dyDescent="0.2">
      <c r="A108" t="s">
        <v>127</v>
      </c>
      <c r="B108" t="s">
        <v>128</v>
      </c>
      <c r="C108" t="s">
        <v>12</v>
      </c>
      <c r="D108" t="s">
        <v>143</v>
      </c>
      <c r="E108" s="1">
        <v>2800</v>
      </c>
      <c r="F108" s="2">
        <v>3</v>
      </c>
      <c r="G108" s="6">
        <v>1.2999999999999999E-3</v>
      </c>
      <c r="H108" s="3">
        <v>0</v>
      </c>
      <c r="I108" s="3">
        <v>0</v>
      </c>
      <c r="J108" s="3">
        <v>5.2000000000000005E-2</v>
      </c>
      <c r="K108" s="3">
        <v>6.3E-2</v>
      </c>
      <c r="L108" s="3">
        <v>0.77400000000000002</v>
      </c>
      <c r="M108" s="3">
        <v>0</v>
      </c>
      <c r="N108" s="3">
        <v>0</v>
      </c>
      <c r="O108" s="4">
        <f t="shared" si="1"/>
        <v>1.0714285714285714</v>
      </c>
    </row>
    <row r="109" spans="1:15" x14ac:dyDescent="0.2">
      <c r="A109" t="s">
        <v>127</v>
      </c>
      <c r="B109" t="s">
        <v>128</v>
      </c>
      <c r="C109" t="s">
        <v>12</v>
      </c>
      <c r="D109" t="s">
        <v>144</v>
      </c>
      <c r="E109" s="1">
        <v>2500</v>
      </c>
      <c r="F109" s="2">
        <v>0.6</v>
      </c>
      <c r="G109" s="6">
        <v>0</v>
      </c>
      <c r="H109" s="3">
        <v>0</v>
      </c>
      <c r="I109" s="3">
        <v>0</v>
      </c>
      <c r="J109" s="3">
        <v>1.2E-2</v>
      </c>
      <c r="K109" s="3">
        <v>1.1000000000000001E-2</v>
      </c>
      <c r="L109" s="3">
        <v>0.71299999999999997</v>
      </c>
      <c r="M109" s="3">
        <v>0</v>
      </c>
      <c r="N109" s="3">
        <v>0</v>
      </c>
      <c r="O109" s="4">
        <f t="shared" si="1"/>
        <v>0.24</v>
      </c>
    </row>
    <row r="110" spans="1:15" x14ac:dyDescent="0.2">
      <c r="A110" t="s">
        <v>127</v>
      </c>
      <c r="B110" t="s">
        <v>128</v>
      </c>
      <c r="C110" t="s">
        <v>12</v>
      </c>
      <c r="D110" t="s">
        <v>145</v>
      </c>
      <c r="E110" s="1">
        <v>2500</v>
      </c>
      <c r="F110" s="2">
        <v>0</v>
      </c>
      <c r="G110" s="6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0.72400000000000009</v>
      </c>
      <c r="M110" s="3">
        <v>0</v>
      </c>
      <c r="N110" s="3">
        <v>0</v>
      </c>
      <c r="O110" s="4">
        <f t="shared" si="1"/>
        <v>0</v>
      </c>
    </row>
    <row r="111" spans="1:15" x14ac:dyDescent="0.2">
      <c r="A111" t="s">
        <v>127</v>
      </c>
      <c r="B111" t="s">
        <v>128</v>
      </c>
      <c r="C111" t="s">
        <v>14</v>
      </c>
      <c r="D111" t="s">
        <v>146</v>
      </c>
      <c r="E111" s="1"/>
      <c r="F111" s="2"/>
      <c r="G111" s="6">
        <v>0</v>
      </c>
      <c r="H111" s="3"/>
      <c r="I111" s="3"/>
      <c r="J111" s="3"/>
      <c r="K111" s="3"/>
      <c r="L111" s="3"/>
      <c r="M111" s="3"/>
      <c r="N111" s="3"/>
      <c r="O111" s="4" t="str">
        <f t="shared" si="1"/>
        <v/>
      </c>
    </row>
    <row r="112" spans="1:15" x14ac:dyDescent="0.2">
      <c r="A112" t="s">
        <v>127</v>
      </c>
      <c r="B112" t="s">
        <v>128</v>
      </c>
      <c r="C112" t="s">
        <v>13</v>
      </c>
      <c r="D112" t="s">
        <v>128</v>
      </c>
      <c r="E112" s="1">
        <v>2800</v>
      </c>
      <c r="F112" s="2">
        <v>6</v>
      </c>
      <c r="G112" s="6">
        <v>2.9600000000000001E-2</v>
      </c>
      <c r="H112" s="3"/>
      <c r="I112" s="3"/>
      <c r="J112" s="3"/>
      <c r="K112" s="3"/>
      <c r="L112" s="3"/>
      <c r="M112" s="3"/>
      <c r="N112" s="3"/>
      <c r="O112" s="4">
        <f t="shared" si="1"/>
        <v>2.1428571428571428</v>
      </c>
    </row>
    <row r="113" spans="1:15" x14ac:dyDescent="0.2">
      <c r="A113" t="s">
        <v>147</v>
      </c>
      <c r="B113" t="s">
        <v>148</v>
      </c>
      <c r="C113" t="s">
        <v>9</v>
      </c>
      <c r="D113" t="s">
        <v>149</v>
      </c>
      <c r="E113" s="1">
        <v>5300</v>
      </c>
      <c r="F113" s="2">
        <v>17.399999999999999</v>
      </c>
      <c r="G113" s="6">
        <v>1.3899999999999999E-2</v>
      </c>
      <c r="H113" s="3">
        <v>0.23199999999999998</v>
      </c>
      <c r="I113" s="3">
        <v>0.30499999999999999</v>
      </c>
      <c r="J113" s="3">
        <v>0</v>
      </c>
      <c r="K113" s="3">
        <v>0</v>
      </c>
      <c r="L113" s="3">
        <v>0</v>
      </c>
      <c r="M113" s="3">
        <v>1</v>
      </c>
      <c r="N113" s="3">
        <v>1.8000000000000002E-2</v>
      </c>
      <c r="O113" s="4">
        <f t="shared" si="1"/>
        <v>3.283018867924528</v>
      </c>
    </row>
    <row r="114" spans="1:15" x14ac:dyDescent="0.2">
      <c r="A114" t="s">
        <v>147</v>
      </c>
      <c r="B114" t="s">
        <v>148</v>
      </c>
      <c r="C114" t="s">
        <v>9</v>
      </c>
      <c r="D114" t="s">
        <v>150</v>
      </c>
      <c r="E114" s="1">
        <v>4000</v>
      </c>
      <c r="F114" s="2">
        <v>0</v>
      </c>
      <c r="G114" s="6">
        <v>0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4">
        <f t="shared" si="1"/>
        <v>0</v>
      </c>
    </row>
    <row r="115" spans="1:15" x14ac:dyDescent="0.2">
      <c r="A115" t="s">
        <v>147</v>
      </c>
      <c r="B115" t="s">
        <v>148</v>
      </c>
      <c r="C115" t="s">
        <v>9</v>
      </c>
      <c r="D115" t="s">
        <v>151</v>
      </c>
      <c r="E115" s="1">
        <v>4000</v>
      </c>
      <c r="F115" s="2">
        <v>0</v>
      </c>
      <c r="G115" s="6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4">
        <f t="shared" si="1"/>
        <v>0</v>
      </c>
    </row>
    <row r="116" spans="1:15" x14ac:dyDescent="0.2">
      <c r="A116" t="s">
        <v>147</v>
      </c>
      <c r="B116" t="s">
        <v>148</v>
      </c>
      <c r="C116" t="s">
        <v>10</v>
      </c>
      <c r="D116" t="s">
        <v>152</v>
      </c>
      <c r="E116" s="1">
        <v>7000</v>
      </c>
      <c r="F116" s="2">
        <v>17.8</v>
      </c>
      <c r="G116" s="6">
        <v>0.1018</v>
      </c>
      <c r="H116" s="3">
        <v>0.56399999999999995</v>
      </c>
      <c r="I116" s="3">
        <v>0.52800000000000002</v>
      </c>
      <c r="J116" s="3">
        <v>0.20699999999999999</v>
      </c>
      <c r="K116" s="3">
        <v>0.20499999999999999</v>
      </c>
      <c r="L116" s="3">
        <v>0.83900000000000008</v>
      </c>
      <c r="M116" s="3">
        <v>0</v>
      </c>
      <c r="N116" s="3">
        <v>0</v>
      </c>
      <c r="O116" s="4">
        <f t="shared" si="1"/>
        <v>2.5428571428571431</v>
      </c>
    </row>
    <row r="117" spans="1:15" x14ac:dyDescent="0.2">
      <c r="A117" t="s">
        <v>147</v>
      </c>
      <c r="B117" t="s">
        <v>148</v>
      </c>
      <c r="C117" t="s">
        <v>10</v>
      </c>
      <c r="D117" t="s">
        <v>153</v>
      </c>
      <c r="E117" s="1">
        <v>4500</v>
      </c>
      <c r="F117" s="2">
        <v>5.0999999999999996</v>
      </c>
      <c r="G117" s="6">
        <v>2.5000000000000001E-3</v>
      </c>
      <c r="H117" s="3">
        <v>0.183</v>
      </c>
      <c r="I117" s="3">
        <v>0.14800000000000002</v>
      </c>
      <c r="J117" s="3">
        <v>6.4000000000000001E-2</v>
      </c>
      <c r="K117" s="3">
        <v>2.5000000000000001E-2</v>
      </c>
      <c r="L117" s="3">
        <v>0.64599999999999991</v>
      </c>
      <c r="M117" s="3">
        <v>0</v>
      </c>
      <c r="N117" s="3">
        <v>0</v>
      </c>
      <c r="O117" s="4">
        <f t="shared" si="1"/>
        <v>1.1333333333333333</v>
      </c>
    </row>
    <row r="118" spans="1:15" x14ac:dyDescent="0.2">
      <c r="A118" t="s">
        <v>147</v>
      </c>
      <c r="B118" t="s">
        <v>148</v>
      </c>
      <c r="C118" t="s">
        <v>10</v>
      </c>
      <c r="D118" t="s">
        <v>154</v>
      </c>
      <c r="E118" s="1">
        <v>4500</v>
      </c>
      <c r="F118" s="2">
        <v>1.1000000000000001</v>
      </c>
      <c r="G118" s="6">
        <v>1.4000000000000002E-3</v>
      </c>
      <c r="H118" s="3">
        <v>2.1000000000000001E-2</v>
      </c>
      <c r="I118" s="3">
        <v>1.9E-2</v>
      </c>
      <c r="J118" s="3">
        <v>1.9E-2</v>
      </c>
      <c r="K118" s="3">
        <v>1.3000000000000001E-2</v>
      </c>
      <c r="L118" s="3">
        <v>0.78299999999999992</v>
      </c>
      <c r="M118" s="3">
        <v>0</v>
      </c>
      <c r="N118" s="3">
        <v>0</v>
      </c>
      <c r="O118" s="4">
        <f t="shared" si="1"/>
        <v>0.24444444444444446</v>
      </c>
    </row>
    <row r="119" spans="1:15" x14ac:dyDescent="0.2">
      <c r="A119" t="s">
        <v>147</v>
      </c>
      <c r="B119" t="s">
        <v>148</v>
      </c>
      <c r="C119" t="s">
        <v>10</v>
      </c>
      <c r="D119" t="s">
        <v>155</v>
      </c>
      <c r="E119" s="1">
        <v>4000</v>
      </c>
      <c r="F119" s="2">
        <v>0</v>
      </c>
      <c r="G119" s="6">
        <v>2.9999999999999997E-4</v>
      </c>
      <c r="H119" s="3">
        <v>0</v>
      </c>
      <c r="I119" s="3">
        <v>0</v>
      </c>
      <c r="J119" s="3">
        <v>0</v>
      </c>
      <c r="K119" s="3">
        <v>0</v>
      </c>
      <c r="L119" s="3">
        <v>0.78700000000000003</v>
      </c>
      <c r="M119" s="3">
        <v>0</v>
      </c>
      <c r="N119" s="3">
        <v>0</v>
      </c>
      <c r="O119" s="4">
        <f t="shared" si="1"/>
        <v>0</v>
      </c>
    </row>
    <row r="120" spans="1:15" x14ac:dyDescent="0.2">
      <c r="A120" t="s">
        <v>147</v>
      </c>
      <c r="B120" t="s">
        <v>148</v>
      </c>
      <c r="C120" t="s">
        <v>11</v>
      </c>
      <c r="D120" t="s">
        <v>156</v>
      </c>
      <c r="E120" s="1">
        <v>4200</v>
      </c>
      <c r="F120" s="2">
        <v>7.9</v>
      </c>
      <c r="G120" s="6">
        <v>1.18E-2</v>
      </c>
      <c r="H120" s="3">
        <v>0</v>
      </c>
      <c r="I120" s="3">
        <v>0</v>
      </c>
      <c r="J120" s="3">
        <v>0.158</v>
      </c>
      <c r="K120" s="3">
        <v>0.183</v>
      </c>
      <c r="L120" s="3">
        <v>0.70400000000000007</v>
      </c>
      <c r="M120" s="3">
        <v>0</v>
      </c>
      <c r="N120" s="3">
        <v>0</v>
      </c>
      <c r="O120" s="4">
        <f t="shared" si="1"/>
        <v>1.8809523809523809</v>
      </c>
    </row>
    <row r="121" spans="1:15" x14ac:dyDescent="0.2">
      <c r="A121" t="s">
        <v>147</v>
      </c>
      <c r="B121" t="s">
        <v>148</v>
      </c>
      <c r="C121" t="s">
        <v>11</v>
      </c>
      <c r="D121" t="s">
        <v>157</v>
      </c>
      <c r="E121" s="1">
        <v>3000</v>
      </c>
      <c r="F121" s="2">
        <v>7.4</v>
      </c>
      <c r="G121" s="6">
        <v>4.0000000000000002E-4</v>
      </c>
      <c r="H121" s="3">
        <v>0</v>
      </c>
      <c r="I121" s="3">
        <v>0</v>
      </c>
      <c r="J121" s="3">
        <v>0.154</v>
      </c>
      <c r="K121" s="3">
        <v>0.157</v>
      </c>
      <c r="L121" s="3">
        <v>0.63</v>
      </c>
      <c r="M121" s="3">
        <v>0</v>
      </c>
      <c r="N121" s="3">
        <v>0</v>
      </c>
      <c r="O121" s="4">
        <f t="shared" si="1"/>
        <v>2.4666666666666668</v>
      </c>
    </row>
    <row r="122" spans="1:15" x14ac:dyDescent="0.2">
      <c r="A122" t="s">
        <v>147</v>
      </c>
      <c r="B122" t="s">
        <v>148</v>
      </c>
      <c r="C122" t="s">
        <v>11</v>
      </c>
      <c r="D122" t="s">
        <v>158</v>
      </c>
      <c r="E122" s="1">
        <v>3500</v>
      </c>
      <c r="F122" s="2">
        <v>2.7</v>
      </c>
      <c r="G122" s="6">
        <v>2.5000000000000001E-3</v>
      </c>
      <c r="H122" s="3">
        <v>0</v>
      </c>
      <c r="I122" s="3">
        <v>0</v>
      </c>
      <c r="J122" s="3">
        <v>0.06</v>
      </c>
      <c r="K122" s="3">
        <v>5.5E-2</v>
      </c>
      <c r="L122" s="3">
        <v>0.59699999999999998</v>
      </c>
      <c r="M122" s="3">
        <v>0</v>
      </c>
      <c r="N122" s="3">
        <v>0</v>
      </c>
      <c r="O122" s="4">
        <f t="shared" si="1"/>
        <v>0.77142857142857146</v>
      </c>
    </row>
    <row r="123" spans="1:15" x14ac:dyDescent="0.2">
      <c r="A123" t="s">
        <v>147</v>
      </c>
      <c r="B123" t="s">
        <v>148</v>
      </c>
      <c r="C123" t="s">
        <v>11</v>
      </c>
      <c r="D123" t="s">
        <v>159</v>
      </c>
      <c r="E123" s="1">
        <v>3000</v>
      </c>
      <c r="F123" s="2">
        <v>0.5</v>
      </c>
      <c r="G123" s="6">
        <v>0</v>
      </c>
      <c r="H123" s="3">
        <v>0</v>
      </c>
      <c r="I123" s="3">
        <v>0</v>
      </c>
      <c r="J123" s="3">
        <v>1.1000000000000001E-2</v>
      </c>
      <c r="K123" s="3">
        <v>1.1000000000000001E-2</v>
      </c>
      <c r="L123" s="3">
        <v>0</v>
      </c>
      <c r="M123" s="3">
        <v>0</v>
      </c>
      <c r="N123" s="3">
        <v>0</v>
      </c>
      <c r="O123" s="4">
        <f t="shared" si="1"/>
        <v>0.16666666666666666</v>
      </c>
    </row>
    <row r="124" spans="1:15" x14ac:dyDescent="0.2">
      <c r="A124" t="s">
        <v>147</v>
      </c>
      <c r="B124" t="s">
        <v>148</v>
      </c>
      <c r="C124" t="s">
        <v>11</v>
      </c>
      <c r="D124" t="s">
        <v>160</v>
      </c>
      <c r="E124" s="1">
        <v>3000</v>
      </c>
      <c r="F124" s="2">
        <v>0</v>
      </c>
      <c r="G124" s="6">
        <v>2.9999999999999997E-4</v>
      </c>
      <c r="H124" s="3">
        <v>0</v>
      </c>
      <c r="I124" s="3">
        <v>0</v>
      </c>
      <c r="J124" s="3">
        <v>0</v>
      </c>
      <c r="K124" s="3">
        <v>0</v>
      </c>
      <c r="L124" s="3">
        <v>0.63</v>
      </c>
      <c r="M124" s="3">
        <v>0</v>
      </c>
      <c r="N124" s="3">
        <v>0</v>
      </c>
      <c r="O124" s="4">
        <f t="shared" si="1"/>
        <v>0</v>
      </c>
    </row>
    <row r="125" spans="1:15" x14ac:dyDescent="0.2">
      <c r="A125" t="s">
        <v>147</v>
      </c>
      <c r="B125" t="s">
        <v>148</v>
      </c>
      <c r="C125" t="s">
        <v>12</v>
      </c>
      <c r="D125" t="s">
        <v>161</v>
      </c>
      <c r="E125" s="1">
        <v>3500</v>
      </c>
      <c r="F125" s="2">
        <v>7.5</v>
      </c>
      <c r="G125" s="6">
        <v>9.7999999999999997E-3</v>
      </c>
      <c r="H125" s="3">
        <v>0</v>
      </c>
      <c r="I125" s="3">
        <v>0</v>
      </c>
      <c r="J125" s="3">
        <v>0.14300000000000002</v>
      </c>
      <c r="K125" s="3">
        <v>0.19800000000000001</v>
      </c>
      <c r="L125" s="3">
        <v>0.69599999999999995</v>
      </c>
      <c r="M125" s="3">
        <v>0</v>
      </c>
      <c r="N125" s="3">
        <v>0</v>
      </c>
      <c r="O125" s="4">
        <f t="shared" si="1"/>
        <v>2.1428571428571428</v>
      </c>
    </row>
    <row r="126" spans="1:15" x14ac:dyDescent="0.2">
      <c r="A126" t="s">
        <v>147</v>
      </c>
      <c r="B126" t="s">
        <v>148</v>
      </c>
      <c r="C126" t="s">
        <v>12</v>
      </c>
      <c r="D126" t="s">
        <v>162</v>
      </c>
      <c r="E126" s="1">
        <v>2500</v>
      </c>
      <c r="F126" s="2">
        <v>1.4</v>
      </c>
      <c r="G126" s="6">
        <v>0</v>
      </c>
      <c r="H126" s="3">
        <v>0</v>
      </c>
      <c r="I126" s="3">
        <v>0</v>
      </c>
      <c r="J126" s="3">
        <v>3.4000000000000002E-2</v>
      </c>
      <c r="K126" s="3">
        <v>0</v>
      </c>
      <c r="L126" s="3">
        <v>0.72400000000000009</v>
      </c>
      <c r="M126" s="3">
        <v>0</v>
      </c>
      <c r="N126" s="3">
        <v>0</v>
      </c>
      <c r="O126" s="4">
        <f t="shared" si="1"/>
        <v>0.55999999999999994</v>
      </c>
    </row>
    <row r="127" spans="1:15" x14ac:dyDescent="0.2">
      <c r="A127" t="s">
        <v>147</v>
      </c>
      <c r="B127" t="s">
        <v>148</v>
      </c>
      <c r="C127" t="s">
        <v>12</v>
      </c>
      <c r="D127" t="s">
        <v>163</v>
      </c>
      <c r="E127" s="1">
        <v>2500</v>
      </c>
      <c r="F127" s="2">
        <v>0.8</v>
      </c>
      <c r="G127" s="6">
        <v>0</v>
      </c>
      <c r="H127" s="3">
        <v>0</v>
      </c>
      <c r="I127" s="3">
        <v>0</v>
      </c>
      <c r="J127" s="3">
        <v>1.4999999999999999E-2</v>
      </c>
      <c r="K127" s="3">
        <v>1.9E-2</v>
      </c>
      <c r="L127" s="3">
        <v>0.72400000000000009</v>
      </c>
      <c r="M127" s="3">
        <v>0</v>
      </c>
      <c r="N127" s="3">
        <v>0</v>
      </c>
      <c r="O127" s="4">
        <f t="shared" si="1"/>
        <v>0.32</v>
      </c>
    </row>
    <row r="128" spans="1:15" x14ac:dyDescent="0.2">
      <c r="A128" t="s">
        <v>147</v>
      </c>
      <c r="B128" t="s">
        <v>148</v>
      </c>
      <c r="C128" t="s">
        <v>12</v>
      </c>
      <c r="D128" t="s">
        <v>164</v>
      </c>
      <c r="E128" s="1">
        <v>2500</v>
      </c>
      <c r="F128" s="2">
        <v>0</v>
      </c>
      <c r="G128" s="6">
        <v>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4">
        <f t="shared" si="1"/>
        <v>0</v>
      </c>
    </row>
    <row r="129" spans="1:15" x14ac:dyDescent="0.2">
      <c r="A129" t="s">
        <v>147</v>
      </c>
      <c r="B129" t="s">
        <v>148</v>
      </c>
      <c r="C129" t="s">
        <v>14</v>
      </c>
      <c r="D129" t="s">
        <v>165</v>
      </c>
      <c r="E129" s="1"/>
      <c r="F129" s="2"/>
      <c r="G129" s="6">
        <v>0</v>
      </c>
      <c r="H129" s="3"/>
      <c r="I129" s="3"/>
      <c r="J129" s="3"/>
      <c r="K129" s="3"/>
      <c r="L129" s="3"/>
      <c r="M129" s="3"/>
      <c r="N129" s="3"/>
      <c r="O129" s="4" t="str">
        <f t="shared" si="1"/>
        <v/>
      </c>
    </row>
    <row r="130" spans="1:15" x14ac:dyDescent="0.2">
      <c r="A130" t="s">
        <v>147</v>
      </c>
      <c r="B130" t="s">
        <v>148</v>
      </c>
      <c r="C130" t="s">
        <v>13</v>
      </c>
      <c r="D130" t="s">
        <v>148</v>
      </c>
      <c r="E130" s="1">
        <v>2700</v>
      </c>
      <c r="F130" s="2">
        <v>7.3</v>
      </c>
      <c r="G130" s="6">
        <v>3.2300000000000002E-2</v>
      </c>
      <c r="H130" s="3"/>
      <c r="I130" s="3"/>
      <c r="J130" s="3"/>
      <c r="K130" s="3"/>
      <c r="L130" s="3"/>
      <c r="M130" s="3"/>
      <c r="N130" s="3"/>
      <c r="O130" s="4">
        <f t="shared" si="1"/>
        <v>2.7037037037037033</v>
      </c>
    </row>
    <row r="131" spans="1:15" x14ac:dyDescent="0.2">
      <c r="A131" t="s">
        <v>166</v>
      </c>
      <c r="B131" t="s">
        <v>167</v>
      </c>
      <c r="C131" t="s">
        <v>9</v>
      </c>
      <c r="D131" t="s">
        <v>168</v>
      </c>
      <c r="E131" s="1">
        <v>5000</v>
      </c>
      <c r="F131" s="2">
        <v>13.7</v>
      </c>
      <c r="G131" s="6">
        <v>2.8999999999999998E-2</v>
      </c>
      <c r="H131" s="3">
        <v>4.2999999999999997E-2</v>
      </c>
      <c r="I131" s="3">
        <v>4.7E-2</v>
      </c>
      <c r="J131" s="3">
        <v>0</v>
      </c>
      <c r="K131" s="3">
        <v>0</v>
      </c>
      <c r="L131" s="3">
        <v>0</v>
      </c>
      <c r="M131" s="3">
        <v>1</v>
      </c>
      <c r="N131" s="3">
        <v>2.3E-2</v>
      </c>
      <c r="O131" s="4">
        <f t="shared" ref="O131:O194" si="2">IFERROR(F131/(E131/1000),"")</f>
        <v>2.7399999999999998</v>
      </c>
    </row>
    <row r="132" spans="1:15" x14ac:dyDescent="0.2">
      <c r="A132" t="s">
        <v>166</v>
      </c>
      <c r="B132" t="s">
        <v>167</v>
      </c>
      <c r="C132" t="s">
        <v>9</v>
      </c>
      <c r="D132" t="s">
        <v>169</v>
      </c>
      <c r="E132" s="1">
        <v>4000</v>
      </c>
      <c r="F132" s="2">
        <v>0</v>
      </c>
      <c r="G132" s="6">
        <v>0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4">
        <f t="shared" si="2"/>
        <v>0</v>
      </c>
    </row>
    <row r="133" spans="1:15" x14ac:dyDescent="0.2">
      <c r="A133" t="s">
        <v>166</v>
      </c>
      <c r="B133" t="s">
        <v>167</v>
      </c>
      <c r="C133" t="s">
        <v>9</v>
      </c>
      <c r="D133" t="s">
        <v>170</v>
      </c>
      <c r="E133" s="1">
        <v>5000</v>
      </c>
      <c r="F133" s="2">
        <v>0</v>
      </c>
      <c r="G133" s="6">
        <v>0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4">
        <f t="shared" si="2"/>
        <v>0</v>
      </c>
    </row>
    <row r="134" spans="1:15" x14ac:dyDescent="0.2">
      <c r="A134" t="s">
        <v>166</v>
      </c>
      <c r="B134" t="s">
        <v>167</v>
      </c>
      <c r="C134" t="s">
        <v>10</v>
      </c>
      <c r="D134" t="s">
        <v>171</v>
      </c>
      <c r="E134" s="1">
        <v>6600</v>
      </c>
      <c r="F134" s="2">
        <v>16</v>
      </c>
      <c r="G134" s="6">
        <v>0.1133</v>
      </c>
      <c r="H134" s="3">
        <v>0.59899999999999998</v>
      </c>
      <c r="I134" s="3">
        <v>0.67200000000000004</v>
      </c>
      <c r="J134" s="3">
        <v>0.124</v>
      </c>
      <c r="K134" s="3">
        <v>0.122</v>
      </c>
      <c r="L134" s="3">
        <v>0.75800000000000001</v>
      </c>
      <c r="M134" s="3">
        <v>0</v>
      </c>
      <c r="N134" s="3">
        <v>0</v>
      </c>
      <c r="O134" s="4">
        <f t="shared" si="2"/>
        <v>2.4242424242424243</v>
      </c>
    </row>
    <row r="135" spans="1:15" x14ac:dyDescent="0.2">
      <c r="A135" t="s">
        <v>166</v>
      </c>
      <c r="B135" t="s">
        <v>167</v>
      </c>
      <c r="C135" t="s">
        <v>10</v>
      </c>
      <c r="D135" t="s">
        <v>172</v>
      </c>
      <c r="E135" s="1">
        <v>4600</v>
      </c>
      <c r="F135" s="2">
        <v>7.2</v>
      </c>
      <c r="G135" s="6">
        <v>1E-3</v>
      </c>
      <c r="H135" s="3">
        <v>0.30099999999999999</v>
      </c>
      <c r="I135" s="3">
        <v>0.24</v>
      </c>
      <c r="J135" s="3">
        <v>6.9000000000000006E-2</v>
      </c>
      <c r="K135" s="3">
        <v>1.3999999999999999E-2</v>
      </c>
      <c r="L135" s="3">
        <v>0.78700000000000003</v>
      </c>
      <c r="M135" s="3">
        <v>0</v>
      </c>
      <c r="N135" s="3">
        <v>0</v>
      </c>
      <c r="O135" s="4">
        <f t="shared" si="2"/>
        <v>1.5652173913043479</v>
      </c>
    </row>
    <row r="136" spans="1:15" x14ac:dyDescent="0.2">
      <c r="A136" t="s">
        <v>166</v>
      </c>
      <c r="B136" t="s">
        <v>167</v>
      </c>
      <c r="C136" t="s">
        <v>10</v>
      </c>
      <c r="D136" t="s">
        <v>173</v>
      </c>
      <c r="E136" s="1">
        <v>4000</v>
      </c>
      <c r="F136" s="2">
        <v>0.5</v>
      </c>
      <c r="G136" s="6">
        <v>1E-4</v>
      </c>
      <c r="H136" s="3">
        <v>1.2E-2</v>
      </c>
      <c r="I136" s="3">
        <v>0.01</v>
      </c>
      <c r="J136" s="3">
        <v>6.9999999999999993E-3</v>
      </c>
      <c r="K136" s="3">
        <v>4.0000000000000001E-3</v>
      </c>
      <c r="L136" s="3">
        <v>0.76900000000000002</v>
      </c>
      <c r="M136" s="3">
        <v>0</v>
      </c>
      <c r="N136" s="3">
        <v>0</v>
      </c>
      <c r="O136" s="4">
        <f t="shared" si="2"/>
        <v>0.125</v>
      </c>
    </row>
    <row r="137" spans="1:15" x14ac:dyDescent="0.2">
      <c r="A137" t="s">
        <v>166</v>
      </c>
      <c r="B137" t="s">
        <v>167</v>
      </c>
      <c r="C137" t="s">
        <v>10</v>
      </c>
      <c r="D137" t="s">
        <v>174</v>
      </c>
      <c r="E137" s="1">
        <v>4000</v>
      </c>
      <c r="F137" s="2">
        <v>0.3</v>
      </c>
      <c r="G137" s="6">
        <v>1E-4</v>
      </c>
      <c r="H137" s="3">
        <v>1.2E-2</v>
      </c>
      <c r="I137" s="3">
        <v>9.0000000000000011E-3</v>
      </c>
      <c r="J137" s="3">
        <v>3.0000000000000001E-3</v>
      </c>
      <c r="K137" s="3">
        <v>1E-3</v>
      </c>
      <c r="L137" s="3">
        <v>0.77800000000000002</v>
      </c>
      <c r="M137" s="3">
        <v>0</v>
      </c>
      <c r="N137" s="3">
        <v>0</v>
      </c>
      <c r="O137" s="4">
        <f t="shared" si="2"/>
        <v>7.4999999999999997E-2</v>
      </c>
    </row>
    <row r="138" spans="1:15" x14ac:dyDescent="0.2">
      <c r="A138" t="s">
        <v>166</v>
      </c>
      <c r="B138" t="s">
        <v>167</v>
      </c>
      <c r="C138" t="s">
        <v>11</v>
      </c>
      <c r="D138" t="s">
        <v>175</v>
      </c>
      <c r="E138" s="1">
        <v>4000</v>
      </c>
      <c r="F138" s="2">
        <v>12.6</v>
      </c>
      <c r="G138" s="6">
        <v>3.9300000000000002E-2</v>
      </c>
      <c r="H138" s="3">
        <v>0.02</v>
      </c>
      <c r="I138" s="3">
        <v>1.6E-2</v>
      </c>
      <c r="J138" s="3">
        <v>0.22</v>
      </c>
      <c r="K138" s="3">
        <v>0.311</v>
      </c>
      <c r="L138" s="3">
        <v>0.60299999999999998</v>
      </c>
      <c r="M138" s="3">
        <v>0</v>
      </c>
      <c r="N138" s="3">
        <v>0</v>
      </c>
      <c r="O138" s="4">
        <f t="shared" si="2"/>
        <v>3.15</v>
      </c>
    </row>
    <row r="139" spans="1:15" x14ac:dyDescent="0.2">
      <c r="A139" t="s">
        <v>166</v>
      </c>
      <c r="B139" t="s">
        <v>167</v>
      </c>
      <c r="C139" t="s">
        <v>11</v>
      </c>
      <c r="D139" t="s">
        <v>176</v>
      </c>
      <c r="E139" s="1">
        <v>4300</v>
      </c>
      <c r="F139" s="2">
        <v>8.9</v>
      </c>
      <c r="G139" s="6">
        <v>6.8000000000000005E-3</v>
      </c>
      <c r="H139" s="3">
        <v>1.2E-2</v>
      </c>
      <c r="I139" s="3">
        <v>6.9999999999999993E-3</v>
      </c>
      <c r="J139" s="3">
        <v>0.155</v>
      </c>
      <c r="K139" s="3">
        <v>0.20600000000000002</v>
      </c>
      <c r="L139" s="3">
        <v>0.60299999999999998</v>
      </c>
      <c r="M139" s="3">
        <v>0</v>
      </c>
      <c r="N139" s="3">
        <v>0</v>
      </c>
      <c r="O139" s="4">
        <f t="shared" si="2"/>
        <v>2.0697674418604652</v>
      </c>
    </row>
    <row r="140" spans="1:15" x14ac:dyDescent="0.2">
      <c r="A140" t="s">
        <v>166</v>
      </c>
      <c r="B140" t="s">
        <v>167</v>
      </c>
      <c r="C140" t="s">
        <v>11</v>
      </c>
      <c r="D140" t="s">
        <v>177</v>
      </c>
      <c r="E140" s="1">
        <v>3100</v>
      </c>
      <c r="F140" s="2">
        <v>5.0999999999999996</v>
      </c>
      <c r="G140" s="6">
        <v>3.0999999999999999E-3</v>
      </c>
      <c r="H140" s="3">
        <v>0</v>
      </c>
      <c r="I140" s="3">
        <v>0</v>
      </c>
      <c r="J140" s="3">
        <v>0.10300000000000001</v>
      </c>
      <c r="K140" s="3">
        <v>7.400000000000001E-2</v>
      </c>
      <c r="L140" s="3">
        <v>0.63</v>
      </c>
      <c r="M140" s="3">
        <v>0</v>
      </c>
      <c r="N140" s="3">
        <v>0</v>
      </c>
      <c r="O140" s="4">
        <f t="shared" si="2"/>
        <v>1.6451612903225805</v>
      </c>
    </row>
    <row r="141" spans="1:15" x14ac:dyDescent="0.2">
      <c r="A141" t="s">
        <v>166</v>
      </c>
      <c r="B141" t="s">
        <v>167</v>
      </c>
      <c r="C141" t="s">
        <v>11</v>
      </c>
      <c r="D141" t="s">
        <v>178</v>
      </c>
      <c r="E141" s="1">
        <v>3600</v>
      </c>
      <c r="F141" s="2">
        <v>3.9</v>
      </c>
      <c r="G141" s="6">
        <v>1.8E-3</v>
      </c>
      <c r="H141" s="3">
        <v>0</v>
      </c>
      <c r="I141" s="3">
        <v>0</v>
      </c>
      <c r="J141" s="3">
        <v>8.3000000000000004E-2</v>
      </c>
      <c r="K141" s="3">
        <v>3.7999999999999999E-2</v>
      </c>
      <c r="L141" s="3">
        <v>0.67200000000000004</v>
      </c>
      <c r="M141" s="3">
        <v>0</v>
      </c>
      <c r="N141" s="3">
        <v>0</v>
      </c>
      <c r="O141" s="4">
        <f t="shared" si="2"/>
        <v>1.0833333333333333</v>
      </c>
    </row>
    <row r="142" spans="1:15" x14ac:dyDescent="0.2">
      <c r="A142" t="s">
        <v>166</v>
      </c>
      <c r="B142" t="s">
        <v>167</v>
      </c>
      <c r="C142" t="s">
        <v>11</v>
      </c>
      <c r="D142" t="s">
        <v>179</v>
      </c>
      <c r="E142" s="1">
        <v>3000</v>
      </c>
      <c r="F142" s="2">
        <v>0.4</v>
      </c>
      <c r="G142" s="6">
        <v>1E-4</v>
      </c>
      <c r="H142" s="3">
        <v>0</v>
      </c>
      <c r="I142" s="3">
        <v>0</v>
      </c>
      <c r="J142" s="3">
        <v>6.9999999999999993E-3</v>
      </c>
      <c r="K142" s="3">
        <v>4.0000000000000001E-3</v>
      </c>
      <c r="L142" s="3">
        <v>0.59799999999999998</v>
      </c>
      <c r="M142" s="3">
        <v>0</v>
      </c>
      <c r="N142" s="3">
        <v>0</v>
      </c>
      <c r="O142" s="4">
        <f t="shared" si="2"/>
        <v>0.13333333333333333</v>
      </c>
    </row>
    <row r="143" spans="1:15" x14ac:dyDescent="0.2">
      <c r="A143" t="s">
        <v>166</v>
      </c>
      <c r="B143" t="s">
        <v>167</v>
      </c>
      <c r="C143" t="s">
        <v>12</v>
      </c>
      <c r="D143" t="s">
        <v>180</v>
      </c>
      <c r="E143" s="1">
        <v>2900</v>
      </c>
      <c r="F143" s="2">
        <v>9.6</v>
      </c>
      <c r="G143" s="6">
        <v>4.3E-3</v>
      </c>
      <c r="H143" s="3">
        <v>0</v>
      </c>
      <c r="I143" s="3">
        <v>0</v>
      </c>
      <c r="J143" s="3">
        <v>0.18899999999999997</v>
      </c>
      <c r="K143" s="3">
        <v>0.187</v>
      </c>
      <c r="L143" s="3">
        <v>0.68799999999999994</v>
      </c>
      <c r="M143" s="3">
        <v>0</v>
      </c>
      <c r="N143" s="3">
        <v>0</v>
      </c>
      <c r="O143" s="4">
        <f t="shared" si="2"/>
        <v>3.3103448275862069</v>
      </c>
    </row>
    <row r="144" spans="1:15" x14ac:dyDescent="0.2">
      <c r="A144" t="s">
        <v>166</v>
      </c>
      <c r="B144" t="s">
        <v>167</v>
      </c>
      <c r="C144" t="s">
        <v>12</v>
      </c>
      <c r="D144" t="s">
        <v>181</v>
      </c>
      <c r="E144" s="1">
        <v>2500</v>
      </c>
      <c r="F144" s="2">
        <v>2.2000000000000002</v>
      </c>
      <c r="G144" s="6">
        <v>1E-4</v>
      </c>
      <c r="H144" s="3">
        <v>0</v>
      </c>
      <c r="I144" s="3">
        <v>0</v>
      </c>
      <c r="J144" s="3">
        <v>4.0999999999999995E-2</v>
      </c>
      <c r="K144" s="3">
        <v>0.04</v>
      </c>
      <c r="L144" s="3">
        <v>0.79599999999999993</v>
      </c>
      <c r="M144" s="3">
        <v>0</v>
      </c>
      <c r="N144" s="3">
        <v>0</v>
      </c>
      <c r="O144" s="4">
        <f t="shared" si="2"/>
        <v>0.88000000000000012</v>
      </c>
    </row>
    <row r="145" spans="1:15" x14ac:dyDescent="0.2">
      <c r="A145" t="s">
        <v>166</v>
      </c>
      <c r="B145" t="s">
        <v>167</v>
      </c>
      <c r="C145" t="s">
        <v>12</v>
      </c>
      <c r="D145" t="s">
        <v>182</v>
      </c>
      <c r="E145" s="1">
        <v>6900</v>
      </c>
      <c r="F145" s="2">
        <v>0</v>
      </c>
      <c r="G145" s="6">
        <v>0.11460000000000001</v>
      </c>
      <c r="H145" s="3">
        <v>0</v>
      </c>
      <c r="I145" s="3">
        <v>0</v>
      </c>
      <c r="J145" s="3">
        <v>0</v>
      </c>
      <c r="K145" s="3">
        <v>0</v>
      </c>
      <c r="L145" s="3">
        <v>0.73599999999999999</v>
      </c>
      <c r="M145" s="3">
        <v>0</v>
      </c>
      <c r="N145" s="3">
        <v>0</v>
      </c>
      <c r="O145" s="4">
        <f t="shared" si="2"/>
        <v>0</v>
      </c>
    </row>
    <row r="146" spans="1:15" x14ac:dyDescent="0.2">
      <c r="A146" t="s">
        <v>166</v>
      </c>
      <c r="B146" t="s">
        <v>167</v>
      </c>
      <c r="C146" t="s">
        <v>14</v>
      </c>
      <c r="D146" t="s">
        <v>183</v>
      </c>
      <c r="E146" s="1"/>
      <c r="F146" s="2"/>
      <c r="G146" s="6">
        <v>0</v>
      </c>
      <c r="H146" s="3"/>
      <c r="I146" s="3"/>
      <c r="J146" s="3"/>
      <c r="K146" s="3"/>
      <c r="L146" s="3"/>
      <c r="M146" s="3"/>
      <c r="N146" s="3"/>
      <c r="O146" s="4" t="str">
        <f t="shared" si="2"/>
        <v/>
      </c>
    </row>
    <row r="147" spans="1:15" x14ac:dyDescent="0.2">
      <c r="A147" t="s">
        <v>166</v>
      </c>
      <c r="B147" t="s">
        <v>167</v>
      </c>
      <c r="C147" t="s">
        <v>13</v>
      </c>
      <c r="D147" t="s">
        <v>167</v>
      </c>
      <c r="E147" s="1">
        <v>2900</v>
      </c>
      <c r="F147" s="2">
        <v>7</v>
      </c>
      <c r="G147" s="6">
        <v>4.7699999999999992E-2</v>
      </c>
      <c r="H147" s="3"/>
      <c r="I147" s="3"/>
      <c r="J147" s="3"/>
      <c r="K147" s="3"/>
      <c r="L147" s="3"/>
      <c r="M147" s="3"/>
      <c r="N147" s="3"/>
      <c r="O147" s="4">
        <f t="shared" si="2"/>
        <v>2.4137931034482758</v>
      </c>
    </row>
    <row r="148" spans="1:15" x14ac:dyDescent="0.2">
      <c r="A148" t="s">
        <v>184</v>
      </c>
      <c r="B148" t="s">
        <v>16</v>
      </c>
      <c r="C148" t="s">
        <v>9</v>
      </c>
      <c r="D148" t="s">
        <v>185</v>
      </c>
      <c r="E148" s="1">
        <v>5100</v>
      </c>
      <c r="F148" s="2">
        <v>15.2</v>
      </c>
      <c r="G148" s="6">
        <v>1.7000000000000001E-2</v>
      </c>
      <c r="H148" s="3">
        <v>0.13800000000000001</v>
      </c>
      <c r="I148" s="3">
        <v>0.14499999999999999</v>
      </c>
      <c r="J148" s="3">
        <v>0</v>
      </c>
      <c r="K148" s="3">
        <v>0</v>
      </c>
      <c r="L148" s="3">
        <v>0</v>
      </c>
      <c r="M148" s="3">
        <v>1</v>
      </c>
      <c r="N148" s="3">
        <v>1.7000000000000001E-2</v>
      </c>
      <c r="O148" s="4">
        <f t="shared" si="2"/>
        <v>2.9803921568627452</v>
      </c>
    </row>
    <row r="149" spans="1:15" x14ac:dyDescent="0.2">
      <c r="A149" t="s">
        <v>184</v>
      </c>
      <c r="B149" t="s">
        <v>16</v>
      </c>
      <c r="C149" t="s">
        <v>9</v>
      </c>
      <c r="D149" t="s">
        <v>186</v>
      </c>
      <c r="E149" s="1">
        <v>4100</v>
      </c>
      <c r="F149" s="2">
        <v>0</v>
      </c>
      <c r="G149" s="6">
        <v>0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4">
        <f t="shared" si="2"/>
        <v>0</v>
      </c>
    </row>
    <row r="150" spans="1:15" x14ac:dyDescent="0.2">
      <c r="A150" t="s">
        <v>184</v>
      </c>
      <c r="B150" t="s">
        <v>16</v>
      </c>
      <c r="C150" t="s">
        <v>9</v>
      </c>
      <c r="D150" t="s">
        <v>187</v>
      </c>
      <c r="E150" s="1">
        <v>4100</v>
      </c>
      <c r="F150" s="2">
        <v>0</v>
      </c>
      <c r="G150" s="6">
        <v>0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4">
        <f t="shared" si="2"/>
        <v>0</v>
      </c>
    </row>
    <row r="151" spans="1:15" x14ac:dyDescent="0.2">
      <c r="A151" t="s">
        <v>184</v>
      </c>
      <c r="B151" t="s">
        <v>16</v>
      </c>
      <c r="C151" t="s">
        <v>10</v>
      </c>
      <c r="D151" t="s">
        <v>188</v>
      </c>
      <c r="E151" s="1">
        <v>6400</v>
      </c>
      <c r="F151" s="2">
        <v>12.7</v>
      </c>
      <c r="G151" s="6">
        <v>1.6399999999999998E-2</v>
      </c>
      <c r="H151" s="3">
        <v>0.46299999999999997</v>
      </c>
      <c r="I151" s="3">
        <v>0.47799999999999998</v>
      </c>
      <c r="J151" s="3">
        <v>0.13100000000000001</v>
      </c>
      <c r="K151" s="3">
        <v>5.7000000000000002E-2</v>
      </c>
      <c r="L151" s="3">
        <v>0.78700000000000003</v>
      </c>
      <c r="M151" s="3">
        <v>0</v>
      </c>
      <c r="N151" s="3">
        <v>0</v>
      </c>
      <c r="O151" s="4">
        <f t="shared" si="2"/>
        <v>1.9843749999999998</v>
      </c>
    </row>
    <row r="152" spans="1:15" x14ac:dyDescent="0.2">
      <c r="A152" t="s">
        <v>184</v>
      </c>
      <c r="B152" t="s">
        <v>16</v>
      </c>
      <c r="C152" t="s">
        <v>10</v>
      </c>
      <c r="D152" t="s">
        <v>189</v>
      </c>
      <c r="E152" s="1">
        <v>4900</v>
      </c>
      <c r="F152" s="2">
        <v>8.1</v>
      </c>
      <c r="G152" s="6">
        <v>7.3000000000000001E-3</v>
      </c>
      <c r="H152" s="3">
        <v>0.379</v>
      </c>
      <c r="I152" s="3">
        <v>0.36499999999999999</v>
      </c>
      <c r="J152" s="3">
        <v>6.4000000000000001E-2</v>
      </c>
      <c r="K152" s="3">
        <v>2.7000000000000003E-2</v>
      </c>
      <c r="L152" s="3">
        <v>0.88900000000000001</v>
      </c>
      <c r="M152" s="3">
        <v>0</v>
      </c>
      <c r="N152" s="3">
        <v>0</v>
      </c>
      <c r="O152" s="4">
        <f t="shared" si="2"/>
        <v>1.6530612244897958</v>
      </c>
    </row>
    <row r="153" spans="1:15" x14ac:dyDescent="0.2">
      <c r="A153" t="s">
        <v>184</v>
      </c>
      <c r="B153" t="s">
        <v>16</v>
      </c>
      <c r="C153" t="s">
        <v>10</v>
      </c>
      <c r="D153" t="s">
        <v>190</v>
      </c>
      <c r="E153" s="1">
        <v>4000</v>
      </c>
      <c r="F153" s="2">
        <v>0.3</v>
      </c>
      <c r="G153" s="6">
        <v>0</v>
      </c>
      <c r="H153" s="3">
        <v>0.02</v>
      </c>
      <c r="I153" s="3">
        <v>1.2E-2</v>
      </c>
      <c r="J153" s="3">
        <v>0</v>
      </c>
      <c r="K153" s="3">
        <v>0</v>
      </c>
      <c r="L153" s="3">
        <v>0.73099999999999998</v>
      </c>
      <c r="M153" s="3">
        <v>0</v>
      </c>
      <c r="N153" s="3">
        <v>0</v>
      </c>
      <c r="O153" s="4">
        <f t="shared" si="2"/>
        <v>7.4999999999999997E-2</v>
      </c>
    </row>
    <row r="154" spans="1:15" x14ac:dyDescent="0.2">
      <c r="A154" t="s">
        <v>184</v>
      </c>
      <c r="B154" t="s">
        <v>16</v>
      </c>
      <c r="C154" t="s">
        <v>11</v>
      </c>
      <c r="D154" t="s">
        <v>191</v>
      </c>
      <c r="E154" s="1">
        <v>5300</v>
      </c>
      <c r="F154" s="2">
        <v>10</v>
      </c>
      <c r="G154" s="6">
        <v>3.8900000000000004E-2</v>
      </c>
      <c r="H154" s="3">
        <v>0</v>
      </c>
      <c r="I154" s="3">
        <v>0</v>
      </c>
      <c r="J154" s="3">
        <v>0.188</v>
      </c>
      <c r="K154" s="3">
        <v>0.21</v>
      </c>
      <c r="L154" s="3">
        <v>0.63400000000000001</v>
      </c>
      <c r="M154" s="3">
        <v>0</v>
      </c>
      <c r="N154" s="3">
        <v>0</v>
      </c>
      <c r="O154" s="4">
        <f t="shared" si="2"/>
        <v>1.8867924528301887</v>
      </c>
    </row>
    <row r="155" spans="1:15" x14ac:dyDescent="0.2">
      <c r="A155" t="s">
        <v>184</v>
      </c>
      <c r="B155" t="s">
        <v>16</v>
      </c>
      <c r="C155" t="s">
        <v>11</v>
      </c>
      <c r="D155" t="s">
        <v>192</v>
      </c>
      <c r="E155" s="1">
        <v>5000</v>
      </c>
      <c r="F155" s="2">
        <v>9.6999999999999993</v>
      </c>
      <c r="G155" s="6">
        <v>3.7999999999999999E-2</v>
      </c>
      <c r="H155" s="3">
        <v>0</v>
      </c>
      <c r="I155" s="3">
        <v>0</v>
      </c>
      <c r="J155" s="3">
        <v>0.188</v>
      </c>
      <c r="K155" s="3">
        <v>0.22899999999999998</v>
      </c>
      <c r="L155" s="3">
        <v>0.55000000000000004</v>
      </c>
      <c r="M155" s="3">
        <v>0</v>
      </c>
      <c r="N155" s="3">
        <v>0</v>
      </c>
      <c r="O155" s="4">
        <f t="shared" si="2"/>
        <v>1.94</v>
      </c>
    </row>
    <row r="156" spans="1:15" x14ac:dyDescent="0.2">
      <c r="A156" t="s">
        <v>184</v>
      </c>
      <c r="B156" t="s">
        <v>16</v>
      </c>
      <c r="C156" t="s">
        <v>11</v>
      </c>
      <c r="D156" t="s">
        <v>193</v>
      </c>
      <c r="E156" s="1">
        <v>3600</v>
      </c>
      <c r="F156" s="2">
        <v>6.2</v>
      </c>
      <c r="G156" s="6">
        <v>5.5000000000000005E-3</v>
      </c>
      <c r="H156" s="3">
        <v>0</v>
      </c>
      <c r="I156" s="3">
        <v>0</v>
      </c>
      <c r="J156" s="3">
        <v>0.113</v>
      </c>
      <c r="K156" s="3">
        <v>0.15</v>
      </c>
      <c r="L156" s="3">
        <v>0.70499999999999996</v>
      </c>
      <c r="M156" s="3">
        <v>0</v>
      </c>
      <c r="N156" s="3">
        <v>0</v>
      </c>
      <c r="O156" s="4">
        <f t="shared" si="2"/>
        <v>1.7222222222222223</v>
      </c>
    </row>
    <row r="157" spans="1:15" x14ac:dyDescent="0.2">
      <c r="A157" t="s">
        <v>184</v>
      </c>
      <c r="B157" t="s">
        <v>16</v>
      </c>
      <c r="C157" t="s">
        <v>11</v>
      </c>
      <c r="D157" t="s">
        <v>194</v>
      </c>
      <c r="E157" s="1">
        <v>3000</v>
      </c>
      <c r="F157" s="2">
        <v>1.5</v>
      </c>
      <c r="G157" s="6">
        <v>1E-4</v>
      </c>
      <c r="H157" s="3">
        <v>0</v>
      </c>
      <c r="I157" s="3">
        <v>0</v>
      </c>
      <c r="J157" s="3">
        <v>3.4000000000000002E-2</v>
      </c>
      <c r="K157" s="3">
        <v>0</v>
      </c>
      <c r="L157" s="3">
        <v>0.47</v>
      </c>
      <c r="M157" s="3">
        <v>0</v>
      </c>
      <c r="N157" s="3">
        <v>0</v>
      </c>
      <c r="O157" s="4">
        <f t="shared" si="2"/>
        <v>0.5</v>
      </c>
    </row>
    <row r="158" spans="1:15" x14ac:dyDescent="0.2">
      <c r="A158" t="s">
        <v>184</v>
      </c>
      <c r="B158" t="s">
        <v>16</v>
      </c>
      <c r="C158" t="s">
        <v>11</v>
      </c>
      <c r="D158" t="s">
        <v>195</v>
      </c>
      <c r="E158" s="1">
        <v>3000</v>
      </c>
      <c r="F158" s="2">
        <v>0.4</v>
      </c>
      <c r="G158" s="6">
        <v>7.000000000000001E-4</v>
      </c>
      <c r="H158" s="3">
        <v>0</v>
      </c>
      <c r="I158" s="3">
        <v>0</v>
      </c>
      <c r="J158" s="3">
        <v>9.0000000000000011E-3</v>
      </c>
      <c r="K158" s="3">
        <v>0</v>
      </c>
      <c r="L158" s="3">
        <v>0.63</v>
      </c>
      <c r="M158" s="3">
        <v>0</v>
      </c>
      <c r="N158" s="3">
        <v>0</v>
      </c>
      <c r="O158" s="4">
        <f t="shared" si="2"/>
        <v>0.13333333333333333</v>
      </c>
    </row>
    <row r="159" spans="1:15" x14ac:dyDescent="0.2">
      <c r="A159" t="s">
        <v>184</v>
      </c>
      <c r="B159" t="s">
        <v>16</v>
      </c>
      <c r="C159" t="s">
        <v>11</v>
      </c>
      <c r="D159" t="s">
        <v>196</v>
      </c>
      <c r="E159" s="1">
        <v>3000</v>
      </c>
      <c r="F159" s="2">
        <v>0</v>
      </c>
      <c r="G159" s="6">
        <v>1E-4</v>
      </c>
      <c r="H159" s="3">
        <v>0</v>
      </c>
      <c r="I159" s="3">
        <v>0</v>
      </c>
      <c r="J159" s="3">
        <v>0</v>
      </c>
      <c r="K159" s="3">
        <v>0</v>
      </c>
      <c r="L159" s="3">
        <v>0.623</v>
      </c>
      <c r="M159" s="3">
        <v>0</v>
      </c>
      <c r="N159" s="3">
        <v>0</v>
      </c>
      <c r="O159" s="4">
        <f t="shared" si="2"/>
        <v>0</v>
      </c>
    </row>
    <row r="160" spans="1:15" x14ac:dyDescent="0.2">
      <c r="A160" t="s">
        <v>184</v>
      </c>
      <c r="B160" t="s">
        <v>16</v>
      </c>
      <c r="C160" t="s">
        <v>11</v>
      </c>
      <c r="D160" t="s">
        <v>197</v>
      </c>
      <c r="E160" s="1">
        <v>3000</v>
      </c>
      <c r="F160" s="2">
        <v>0</v>
      </c>
      <c r="G160" s="6">
        <v>1E-4</v>
      </c>
      <c r="H160" s="3">
        <v>0</v>
      </c>
      <c r="I160" s="3">
        <v>0</v>
      </c>
      <c r="J160" s="3">
        <v>0</v>
      </c>
      <c r="K160" s="3">
        <v>0</v>
      </c>
      <c r="L160" s="3">
        <v>0.48399999999999999</v>
      </c>
      <c r="M160" s="3">
        <v>0</v>
      </c>
      <c r="N160" s="3">
        <v>0</v>
      </c>
      <c r="O160" s="4">
        <f t="shared" si="2"/>
        <v>0</v>
      </c>
    </row>
    <row r="161" spans="1:15" x14ac:dyDescent="0.2">
      <c r="A161" t="s">
        <v>184</v>
      </c>
      <c r="B161" t="s">
        <v>16</v>
      </c>
      <c r="C161" t="s">
        <v>12</v>
      </c>
      <c r="D161" t="s">
        <v>198</v>
      </c>
      <c r="E161" s="1">
        <v>6800</v>
      </c>
      <c r="F161" s="2">
        <v>14.4</v>
      </c>
      <c r="G161" s="6">
        <v>9.98E-2</v>
      </c>
      <c r="H161" s="3">
        <v>0</v>
      </c>
      <c r="I161" s="3">
        <v>0</v>
      </c>
      <c r="J161" s="3">
        <v>0.26500000000000001</v>
      </c>
      <c r="K161" s="3">
        <v>0.32600000000000001</v>
      </c>
      <c r="L161" s="3">
        <v>0.74900000000000011</v>
      </c>
      <c r="M161" s="3">
        <v>0</v>
      </c>
      <c r="N161" s="3">
        <v>0</v>
      </c>
      <c r="O161" s="4">
        <f t="shared" si="2"/>
        <v>2.1176470588235294</v>
      </c>
    </row>
    <row r="162" spans="1:15" x14ac:dyDescent="0.2">
      <c r="A162" t="s">
        <v>184</v>
      </c>
      <c r="B162" t="s">
        <v>16</v>
      </c>
      <c r="C162" t="s">
        <v>12</v>
      </c>
      <c r="D162" t="s">
        <v>199</v>
      </c>
      <c r="E162" s="1">
        <v>2500</v>
      </c>
      <c r="F162" s="2">
        <v>0.4</v>
      </c>
      <c r="G162" s="6">
        <v>0</v>
      </c>
      <c r="H162" s="3">
        <v>0</v>
      </c>
      <c r="I162" s="3">
        <v>0</v>
      </c>
      <c r="J162" s="3">
        <v>9.0000000000000011E-3</v>
      </c>
      <c r="K162" s="3">
        <v>0</v>
      </c>
      <c r="L162" s="3">
        <v>0.72900000000000009</v>
      </c>
      <c r="M162" s="3">
        <v>0</v>
      </c>
      <c r="N162" s="3">
        <v>0</v>
      </c>
      <c r="O162" s="4">
        <f t="shared" si="2"/>
        <v>0.16</v>
      </c>
    </row>
    <row r="163" spans="1:15" x14ac:dyDescent="0.2">
      <c r="A163" t="s">
        <v>184</v>
      </c>
      <c r="B163" t="s">
        <v>16</v>
      </c>
      <c r="C163" t="s">
        <v>12</v>
      </c>
      <c r="D163" t="s">
        <v>200</v>
      </c>
      <c r="E163" s="1">
        <v>2500</v>
      </c>
      <c r="F163" s="2">
        <v>0</v>
      </c>
      <c r="G163" s="6">
        <v>0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4">
        <f t="shared" si="2"/>
        <v>0</v>
      </c>
    </row>
    <row r="164" spans="1:15" x14ac:dyDescent="0.2">
      <c r="A164" t="s">
        <v>184</v>
      </c>
      <c r="B164" t="s">
        <v>16</v>
      </c>
      <c r="C164" t="s">
        <v>12</v>
      </c>
      <c r="D164" t="s">
        <v>201</v>
      </c>
      <c r="E164" s="1">
        <v>2500</v>
      </c>
      <c r="F164" s="2">
        <v>0</v>
      </c>
      <c r="G164" s="6">
        <v>8.0000000000000004E-4</v>
      </c>
      <c r="H164" s="3">
        <v>0</v>
      </c>
      <c r="I164" s="3">
        <v>0</v>
      </c>
      <c r="J164" s="3">
        <v>0</v>
      </c>
      <c r="K164" s="3">
        <v>0</v>
      </c>
      <c r="L164" s="3">
        <v>0.80400000000000005</v>
      </c>
      <c r="M164" s="3">
        <v>0</v>
      </c>
      <c r="N164" s="3">
        <v>0</v>
      </c>
      <c r="O164" s="4">
        <f t="shared" si="2"/>
        <v>0</v>
      </c>
    </row>
    <row r="165" spans="1:15" x14ac:dyDescent="0.2">
      <c r="A165" t="s">
        <v>184</v>
      </c>
      <c r="B165" t="s">
        <v>16</v>
      </c>
      <c r="C165" t="s">
        <v>14</v>
      </c>
      <c r="D165" t="s">
        <v>202</v>
      </c>
      <c r="E165" s="1"/>
      <c r="F165" s="2"/>
      <c r="G165" s="6">
        <v>0</v>
      </c>
      <c r="H165" s="3"/>
      <c r="I165" s="3"/>
      <c r="J165" s="3"/>
      <c r="K165" s="3"/>
      <c r="L165" s="3"/>
      <c r="M165" s="3"/>
      <c r="N165" s="3"/>
      <c r="O165" s="4" t="str">
        <f t="shared" si="2"/>
        <v/>
      </c>
    </row>
    <row r="166" spans="1:15" x14ac:dyDescent="0.2">
      <c r="A166" t="s">
        <v>184</v>
      </c>
      <c r="B166" t="s">
        <v>16</v>
      </c>
      <c r="C166" t="s">
        <v>13</v>
      </c>
      <c r="D166" t="s">
        <v>16</v>
      </c>
      <c r="E166" s="1">
        <v>2000</v>
      </c>
      <c r="F166" s="2">
        <v>5.6</v>
      </c>
      <c r="G166" s="6">
        <v>2.4399999999999998E-2</v>
      </c>
      <c r="H166" s="3"/>
      <c r="I166" s="3"/>
      <c r="J166" s="3"/>
      <c r="K166" s="3"/>
      <c r="L166" s="3"/>
      <c r="M166" s="3"/>
      <c r="N166" s="3"/>
      <c r="O166" s="4">
        <f t="shared" si="2"/>
        <v>2.8</v>
      </c>
    </row>
    <row r="167" spans="1:15" x14ac:dyDescent="0.2">
      <c r="A167" t="s">
        <v>203</v>
      </c>
      <c r="B167" t="s">
        <v>17</v>
      </c>
      <c r="C167" t="s">
        <v>9</v>
      </c>
      <c r="D167" t="s">
        <v>204</v>
      </c>
      <c r="E167" s="1">
        <v>6100</v>
      </c>
      <c r="F167" s="2">
        <v>19.100000000000001</v>
      </c>
      <c r="G167" s="6">
        <v>0.10589999999999999</v>
      </c>
      <c r="H167" s="3">
        <v>0.17499999999999999</v>
      </c>
      <c r="I167" s="3">
        <v>0.23399999999999999</v>
      </c>
      <c r="J167" s="3">
        <v>0</v>
      </c>
      <c r="K167" s="3">
        <v>0</v>
      </c>
      <c r="L167" s="3">
        <v>0</v>
      </c>
      <c r="M167" s="3">
        <v>1</v>
      </c>
      <c r="N167" s="3">
        <v>1.7000000000000001E-2</v>
      </c>
      <c r="O167" s="4">
        <f t="shared" si="2"/>
        <v>3.1311475409836071</v>
      </c>
    </row>
    <row r="168" spans="1:15" x14ac:dyDescent="0.2">
      <c r="A168" t="s">
        <v>203</v>
      </c>
      <c r="B168" t="s">
        <v>17</v>
      </c>
      <c r="C168" t="s">
        <v>9</v>
      </c>
      <c r="D168" t="s">
        <v>205</v>
      </c>
      <c r="E168" s="1">
        <v>4000</v>
      </c>
      <c r="F168" s="2">
        <v>0</v>
      </c>
      <c r="G168" s="6">
        <v>0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4">
        <f t="shared" si="2"/>
        <v>0</v>
      </c>
    </row>
    <row r="169" spans="1:15" x14ac:dyDescent="0.2">
      <c r="A169" t="s">
        <v>203</v>
      </c>
      <c r="B169" t="s">
        <v>17</v>
      </c>
      <c r="C169" t="s">
        <v>10</v>
      </c>
      <c r="D169" t="s">
        <v>206</v>
      </c>
      <c r="E169" s="1">
        <v>6800</v>
      </c>
      <c r="F169" s="2">
        <v>17</v>
      </c>
      <c r="G169" s="6">
        <v>7.4499999999999997E-2</v>
      </c>
      <c r="H169" s="3">
        <v>0.59200000000000008</v>
      </c>
      <c r="I169" s="3">
        <v>0.57200000000000006</v>
      </c>
      <c r="J169" s="3">
        <v>0.128</v>
      </c>
      <c r="K169" s="3">
        <v>5.7000000000000002E-2</v>
      </c>
      <c r="L169" s="3">
        <v>0.88200000000000001</v>
      </c>
      <c r="M169" s="3">
        <v>0</v>
      </c>
      <c r="N169" s="3">
        <v>0</v>
      </c>
      <c r="O169" s="4">
        <f t="shared" si="2"/>
        <v>2.5</v>
      </c>
    </row>
    <row r="170" spans="1:15" x14ac:dyDescent="0.2">
      <c r="A170" t="s">
        <v>203</v>
      </c>
      <c r="B170" t="s">
        <v>17</v>
      </c>
      <c r="C170" t="s">
        <v>10</v>
      </c>
      <c r="D170" t="s">
        <v>207</v>
      </c>
      <c r="E170" s="1">
        <v>4800</v>
      </c>
      <c r="F170" s="2">
        <v>3</v>
      </c>
      <c r="G170" s="6">
        <v>2.35E-2</v>
      </c>
      <c r="H170" s="3">
        <v>0.11199999999999999</v>
      </c>
      <c r="I170" s="3">
        <v>8.900000000000001E-2</v>
      </c>
      <c r="J170" s="3">
        <v>2.2000000000000002E-2</v>
      </c>
      <c r="K170" s="3">
        <v>9.0000000000000011E-3</v>
      </c>
      <c r="L170" s="3">
        <v>0.70799999999999996</v>
      </c>
      <c r="M170" s="3">
        <v>0</v>
      </c>
      <c r="N170" s="3">
        <v>0</v>
      </c>
      <c r="O170" s="4">
        <f t="shared" si="2"/>
        <v>0.625</v>
      </c>
    </row>
    <row r="171" spans="1:15" x14ac:dyDescent="0.2">
      <c r="A171" t="s">
        <v>203</v>
      </c>
      <c r="B171" t="s">
        <v>17</v>
      </c>
      <c r="C171" t="s">
        <v>10</v>
      </c>
      <c r="D171" t="s">
        <v>208</v>
      </c>
      <c r="E171" s="1">
        <v>4800</v>
      </c>
      <c r="F171" s="2">
        <v>4.0999999999999996</v>
      </c>
      <c r="G171" s="6">
        <v>2.7000000000000001E-3</v>
      </c>
      <c r="H171" s="3">
        <v>8.6999999999999994E-2</v>
      </c>
      <c r="I171" s="3">
        <v>7.4999999999999997E-2</v>
      </c>
      <c r="J171" s="3">
        <v>6.3E-2</v>
      </c>
      <c r="K171" s="3">
        <v>2.6000000000000002E-2</v>
      </c>
      <c r="L171" s="3">
        <v>0.77800000000000002</v>
      </c>
      <c r="M171" s="3">
        <v>0</v>
      </c>
      <c r="N171" s="3">
        <v>0</v>
      </c>
      <c r="O171" s="4">
        <f t="shared" si="2"/>
        <v>0.85416666666666663</v>
      </c>
    </row>
    <row r="172" spans="1:15" x14ac:dyDescent="0.2">
      <c r="A172" t="s">
        <v>203</v>
      </c>
      <c r="B172" t="s">
        <v>17</v>
      </c>
      <c r="C172" t="s">
        <v>10</v>
      </c>
      <c r="D172" t="s">
        <v>209</v>
      </c>
      <c r="E172" s="1">
        <v>4000</v>
      </c>
      <c r="F172" s="2">
        <v>0.3</v>
      </c>
      <c r="G172" s="6">
        <v>1E-4</v>
      </c>
      <c r="H172" s="3">
        <v>5.0000000000000001E-3</v>
      </c>
      <c r="I172" s="3">
        <v>4.0000000000000001E-3</v>
      </c>
      <c r="J172" s="3">
        <v>5.0000000000000001E-3</v>
      </c>
      <c r="K172" s="3">
        <v>2E-3</v>
      </c>
      <c r="L172" s="3">
        <v>0.81299999999999994</v>
      </c>
      <c r="M172" s="3">
        <v>0</v>
      </c>
      <c r="N172" s="3">
        <v>0</v>
      </c>
      <c r="O172" s="4">
        <f t="shared" si="2"/>
        <v>7.4999999999999997E-2</v>
      </c>
    </row>
    <row r="173" spans="1:15" x14ac:dyDescent="0.2">
      <c r="A173" t="s">
        <v>203</v>
      </c>
      <c r="B173" t="s">
        <v>17</v>
      </c>
      <c r="C173" t="s">
        <v>11</v>
      </c>
      <c r="D173" t="s">
        <v>210</v>
      </c>
      <c r="E173" s="1">
        <v>5900</v>
      </c>
      <c r="F173" s="2">
        <v>12.1</v>
      </c>
      <c r="G173" s="6">
        <v>0.1399</v>
      </c>
      <c r="H173" s="3">
        <v>0</v>
      </c>
      <c r="I173" s="3">
        <v>0</v>
      </c>
      <c r="J173" s="3">
        <v>0.20899999999999999</v>
      </c>
      <c r="K173" s="3">
        <v>0.248</v>
      </c>
      <c r="L173" s="3">
        <v>0.67599999999999993</v>
      </c>
      <c r="M173" s="3">
        <v>0</v>
      </c>
      <c r="N173" s="3">
        <v>0</v>
      </c>
      <c r="O173" s="4">
        <f t="shared" si="2"/>
        <v>2.0508474576271185</v>
      </c>
    </row>
    <row r="174" spans="1:15" x14ac:dyDescent="0.2">
      <c r="A174" t="s">
        <v>203</v>
      </c>
      <c r="B174" t="s">
        <v>17</v>
      </c>
      <c r="C174" t="s">
        <v>11</v>
      </c>
      <c r="D174" t="s">
        <v>211</v>
      </c>
      <c r="E174" s="1">
        <v>4700</v>
      </c>
      <c r="F174" s="2">
        <v>10.6</v>
      </c>
      <c r="G174" s="6">
        <v>0.10439999999999999</v>
      </c>
      <c r="H174" s="3">
        <v>5.0000000000000001E-3</v>
      </c>
      <c r="I174" s="3">
        <v>5.0000000000000001E-3</v>
      </c>
      <c r="J174" s="3">
        <v>0.188</v>
      </c>
      <c r="K174" s="3">
        <v>0.23300000000000001</v>
      </c>
      <c r="L174" s="3">
        <v>0.60699999999999998</v>
      </c>
      <c r="M174" s="3">
        <v>0</v>
      </c>
      <c r="N174" s="3">
        <v>0</v>
      </c>
      <c r="O174" s="4">
        <f t="shared" si="2"/>
        <v>2.2553191489361701</v>
      </c>
    </row>
    <row r="175" spans="1:15" x14ac:dyDescent="0.2">
      <c r="A175" t="s">
        <v>203</v>
      </c>
      <c r="B175" t="s">
        <v>17</v>
      </c>
      <c r="C175" t="s">
        <v>11</v>
      </c>
      <c r="D175" t="s">
        <v>212</v>
      </c>
      <c r="E175" s="1">
        <v>3800</v>
      </c>
      <c r="F175" s="2">
        <v>8</v>
      </c>
      <c r="G175" s="6">
        <v>1.1399999999999999E-2</v>
      </c>
      <c r="H175" s="3">
        <v>1.4999999999999999E-2</v>
      </c>
      <c r="I175" s="3">
        <v>1.3999999999999999E-2</v>
      </c>
      <c r="J175" s="3">
        <v>0.13900000000000001</v>
      </c>
      <c r="K175" s="3">
        <v>0.15</v>
      </c>
      <c r="L175" s="3">
        <v>0.68299999999999994</v>
      </c>
      <c r="M175" s="3">
        <v>0</v>
      </c>
      <c r="N175" s="3">
        <v>0</v>
      </c>
      <c r="O175" s="4">
        <f t="shared" si="2"/>
        <v>2.1052631578947367</v>
      </c>
    </row>
    <row r="176" spans="1:15" x14ac:dyDescent="0.2">
      <c r="A176" t="s">
        <v>203</v>
      </c>
      <c r="B176" t="s">
        <v>17</v>
      </c>
      <c r="C176" t="s">
        <v>11</v>
      </c>
      <c r="D176" t="s">
        <v>213</v>
      </c>
      <c r="E176" s="1">
        <v>3300</v>
      </c>
      <c r="F176" s="2">
        <v>1.6</v>
      </c>
      <c r="G176" s="6">
        <v>9.8999999999999991E-3</v>
      </c>
      <c r="H176" s="3">
        <v>0</v>
      </c>
      <c r="I176" s="3">
        <v>0</v>
      </c>
      <c r="J176" s="3">
        <v>0.03</v>
      </c>
      <c r="K176" s="3">
        <v>3.2000000000000001E-2</v>
      </c>
      <c r="L176" s="3">
        <v>0.63</v>
      </c>
      <c r="M176" s="3">
        <v>0</v>
      </c>
      <c r="N176" s="3">
        <v>0</v>
      </c>
      <c r="O176" s="4">
        <f t="shared" si="2"/>
        <v>0.48484848484848492</v>
      </c>
    </row>
    <row r="177" spans="1:15" x14ac:dyDescent="0.2">
      <c r="A177" t="s">
        <v>203</v>
      </c>
      <c r="B177" t="s">
        <v>17</v>
      </c>
      <c r="C177" t="s">
        <v>11</v>
      </c>
      <c r="D177" t="s">
        <v>214</v>
      </c>
      <c r="E177" s="1">
        <v>3000</v>
      </c>
      <c r="F177" s="2">
        <v>0.6</v>
      </c>
      <c r="G177" s="6">
        <v>5.0000000000000001E-4</v>
      </c>
      <c r="H177" s="3">
        <v>0</v>
      </c>
      <c r="I177" s="3">
        <v>0</v>
      </c>
      <c r="J177" s="3">
        <v>1.1000000000000001E-2</v>
      </c>
      <c r="K177" s="3">
        <v>1.1000000000000001E-2</v>
      </c>
      <c r="L177" s="3">
        <v>0.52300000000000002</v>
      </c>
      <c r="M177" s="3">
        <v>0</v>
      </c>
      <c r="N177" s="3">
        <v>0</v>
      </c>
      <c r="O177" s="4">
        <f t="shared" si="2"/>
        <v>0.19999999999999998</v>
      </c>
    </row>
    <row r="178" spans="1:15" x14ac:dyDescent="0.2">
      <c r="A178" t="s">
        <v>203</v>
      </c>
      <c r="B178" t="s">
        <v>17</v>
      </c>
      <c r="C178" t="s">
        <v>11</v>
      </c>
      <c r="D178" t="s">
        <v>215</v>
      </c>
      <c r="E178" s="1">
        <v>3000</v>
      </c>
      <c r="F178" s="2">
        <v>0.2</v>
      </c>
      <c r="G178" s="6">
        <v>4.0000000000000002E-4</v>
      </c>
      <c r="H178" s="3">
        <v>0.01</v>
      </c>
      <c r="I178" s="3">
        <v>6.0000000000000001E-3</v>
      </c>
      <c r="J178" s="3">
        <v>0</v>
      </c>
      <c r="K178" s="3">
        <v>0</v>
      </c>
      <c r="L178" s="3">
        <v>0.70499999999999996</v>
      </c>
      <c r="M178" s="3">
        <v>0</v>
      </c>
      <c r="N178" s="3">
        <v>0</v>
      </c>
      <c r="O178" s="4">
        <f t="shared" si="2"/>
        <v>6.6666666666666666E-2</v>
      </c>
    </row>
    <row r="179" spans="1:15" x14ac:dyDescent="0.2">
      <c r="A179" t="s">
        <v>203</v>
      </c>
      <c r="B179" t="s">
        <v>17</v>
      </c>
      <c r="C179" t="s">
        <v>12</v>
      </c>
      <c r="D179" t="s">
        <v>216</v>
      </c>
      <c r="E179" s="1">
        <v>3000</v>
      </c>
      <c r="F179" s="2">
        <v>4.4000000000000004</v>
      </c>
      <c r="G179" s="6">
        <v>5.9999999999999995E-4</v>
      </c>
      <c r="H179" s="3">
        <v>0</v>
      </c>
      <c r="I179" s="3">
        <v>0</v>
      </c>
      <c r="J179" s="3">
        <v>8.4000000000000005E-2</v>
      </c>
      <c r="K179" s="3">
        <v>9.4E-2</v>
      </c>
      <c r="L179" s="3">
        <v>0.67299999999999993</v>
      </c>
      <c r="M179" s="3">
        <v>0</v>
      </c>
      <c r="N179" s="3">
        <v>0</v>
      </c>
      <c r="O179" s="4">
        <f t="shared" si="2"/>
        <v>1.4666666666666668</v>
      </c>
    </row>
    <row r="180" spans="1:15" x14ac:dyDescent="0.2">
      <c r="A180" t="s">
        <v>203</v>
      </c>
      <c r="B180" t="s">
        <v>17</v>
      </c>
      <c r="C180" t="s">
        <v>12</v>
      </c>
      <c r="D180" t="s">
        <v>217</v>
      </c>
      <c r="E180" s="1">
        <v>2500</v>
      </c>
      <c r="F180" s="2">
        <v>4.7</v>
      </c>
      <c r="G180" s="6">
        <v>0</v>
      </c>
      <c r="H180" s="3">
        <v>0</v>
      </c>
      <c r="I180" s="3">
        <v>0</v>
      </c>
      <c r="J180" s="3">
        <v>8.4000000000000005E-2</v>
      </c>
      <c r="K180" s="3">
        <v>9.1999999999999998E-2</v>
      </c>
      <c r="L180" s="3">
        <v>0.72900000000000009</v>
      </c>
      <c r="M180" s="3">
        <v>0</v>
      </c>
      <c r="N180" s="3">
        <v>0</v>
      </c>
      <c r="O180" s="4">
        <f t="shared" si="2"/>
        <v>1.8800000000000001</v>
      </c>
    </row>
    <row r="181" spans="1:15" x14ac:dyDescent="0.2">
      <c r="A181" t="s">
        <v>203</v>
      </c>
      <c r="B181" t="s">
        <v>17</v>
      </c>
      <c r="C181" t="s">
        <v>12</v>
      </c>
      <c r="D181" t="s">
        <v>218</v>
      </c>
      <c r="E181" s="1">
        <v>3500</v>
      </c>
      <c r="F181" s="2">
        <v>2.2000000000000002</v>
      </c>
      <c r="G181" s="6">
        <v>1.78E-2</v>
      </c>
      <c r="H181" s="3">
        <v>0</v>
      </c>
      <c r="I181" s="3">
        <v>0</v>
      </c>
      <c r="J181" s="3">
        <v>3.7999999999999999E-2</v>
      </c>
      <c r="K181" s="3">
        <v>4.4000000000000004E-2</v>
      </c>
      <c r="L181" s="3">
        <v>0.71200000000000008</v>
      </c>
      <c r="M181" s="3">
        <v>0</v>
      </c>
      <c r="N181" s="3">
        <v>0</v>
      </c>
      <c r="O181" s="4">
        <f t="shared" si="2"/>
        <v>0.62857142857142867</v>
      </c>
    </row>
    <row r="182" spans="1:15" x14ac:dyDescent="0.2">
      <c r="A182" t="s">
        <v>203</v>
      </c>
      <c r="B182" t="s">
        <v>17</v>
      </c>
      <c r="C182" t="s">
        <v>14</v>
      </c>
      <c r="D182" t="s">
        <v>219</v>
      </c>
      <c r="E182" s="1"/>
      <c r="F182" s="2"/>
      <c r="G182" s="6">
        <v>0</v>
      </c>
      <c r="H182" s="3"/>
      <c r="I182" s="3"/>
      <c r="J182" s="3"/>
      <c r="K182" s="3"/>
      <c r="L182" s="3"/>
      <c r="M182" s="3"/>
      <c r="N182" s="3"/>
      <c r="O182" s="4" t="str">
        <f t="shared" si="2"/>
        <v/>
      </c>
    </row>
    <row r="183" spans="1:15" x14ac:dyDescent="0.2">
      <c r="A183" t="s">
        <v>203</v>
      </c>
      <c r="B183" t="s">
        <v>17</v>
      </c>
      <c r="C183" t="s">
        <v>13</v>
      </c>
      <c r="D183" t="s">
        <v>17</v>
      </c>
      <c r="E183" s="1">
        <v>3500</v>
      </c>
      <c r="F183" s="2">
        <v>7.3</v>
      </c>
      <c r="G183" s="6">
        <v>7.2499999999999995E-2</v>
      </c>
      <c r="H183" s="3"/>
      <c r="I183" s="3"/>
      <c r="J183" s="3"/>
      <c r="K183" s="3"/>
      <c r="L183" s="3"/>
      <c r="M183" s="3"/>
      <c r="N183" s="3"/>
      <c r="O183" s="4">
        <f t="shared" si="2"/>
        <v>2.0857142857142859</v>
      </c>
    </row>
    <row r="184" spans="1:15" x14ac:dyDescent="0.2">
      <c r="A184" t="s">
        <v>220</v>
      </c>
      <c r="B184" t="s">
        <v>221</v>
      </c>
      <c r="C184" t="s">
        <v>9</v>
      </c>
      <c r="D184" t="s">
        <v>222</v>
      </c>
      <c r="E184" s="1">
        <v>4600</v>
      </c>
      <c r="F184" s="2">
        <v>13.1</v>
      </c>
      <c r="G184" s="6">
        <v>8.8000000000000005E-3</v>
      </c>
      <c r="H184" s="3">
        <v>0.11900000000000001</v>
      </c>
      <c r="I184" s="3">
        <v>0.185</v>
      </c>
      <c r="J184" s="3">
        <v>0</v>
      </c>
      <c r="K184" s="3">
        <v>0</v>
      </c>
      <c r="L184" s="3">
        <v>0</v>
      </c>
      <c r="M184" s="3">
        <v>1</v>
      </c>
      <c r="N184" s="3">
        <v>2.5000000000000001E-2</v>
      </c>
      <c r="O184" s="4">
        <f t="shared" si="2"/>
        <v>2.847826086956522</v>
      </c>
    </row>
    <row r="185" spans="1:15" x14ac:dyDescent="0.2">
      <c r="A185" t="s">
        <v>220</v>
      </c>
      <c r="B185" t="s">
        <v>221</v>
      </c>
      <c r="C185" t="s">
        <v>9</v>
      </c>
      <c r="D185" t="s">
        <v>223</v>
      </c>
      <c r="E185" s="1">
        <v>4000</v>
      </c>
      <c r="F185" s="2">
        <v>0</v>
      </c>
      <c r="G185" s="6">
        <v>0</v>
      </c>
      <c r="H185" s="3">
        <v>0</v>
      </c>
      <c r="I185" s="3">
        <v>0</v>
      </c>
      <c r="J185" s="3">
        <v>0</v>
      </c>
      <c r="K185" s="3">
        <v>0</v>
      </c>
      <c r="L185" s="3">
        <v>0</v>
      </c>
      <c r="M185" s="3">
        <v>0</v>
      </c>
      <c r="N185" s="3">
        <v>0</v>
      </c>
      <c r="O185" s="4">
        <f t="shared" si="2"/>
        <v>0</v>
      </c>
    </row>
    <row r="186" spans="1:15" x14ac:dyDescent="0.2">
      <c r="A186" t="s">
        <v>220</v>
      </c>
      <c r="B186" t="s">
        <v>221</v>
      </c>
      <c r="C186" t="s">
        <v>10</v>
      </c>
      <c r="D186" t="s">
        <v>224</v>
      </c>
      <c r="E186" s="1">
        <v>6200</v>
      </c>
      <c r="F186" s="2">
        <v>14.3</v>
      </c>
      <c r="G186" s="6">
        <v>5.1100000000000007E-2</v>
      </c>
      <c r="H186" s="3">
        <v>0.61</v>
      </c>
      <c r="I186" s="3">
        <v>0.50900000000000001</v>
      </c>
      <c r="J186" s="3">
        <v>0.115</v>
      </c>
      <c r="K186" s="3">
        <v>5.5999999999999994E-2</v>
      </c>
      <c r="L186" s="3">
        <v>0.753</v>
      </c>
      <c r="M186" s="3">
        <v>0</v>
      </c>
      <c r="N186" s="3">
        <v>0</v>
      </c>
      <c r="O186" s="4">
        <f t="shared" si="2"/>
        <v>2.306451612903226</v>
      </c>
    </row>
    <row r="187" spans="1:15" x14ac:dyDescent="0.2">
      <c r="A187" t="s">
        <v>220</v>
      </c>
      <c r="B187" t="s">
        <v>221</v>
      </c>
      <c r="C187" t="s">
        <v>10</v>
      </c>
      <c r="D187" t="s">
        <v>225</v>
      </c>
      <c r="E187" s="1">
        <v>4700</v>
      </c>
      <c r="F187" s="2">
        <v>4.4000000000000004</v>
      </c>
      <c r="G187" s="6">
        <v>1.4000000000000002E-3</v>
      </c>
      <c r="H187" s="3">
        <v>0.19399999999999998</v>
      </c>
      <c r="I187" s="3">
        <v>0.222</v>
      </c>
      <c r="J187" s="3">
        <v>0.03</v>
      </c>
      <c r="K187" s="3">
        <v>1.3999999999999999E-2</v>
      </c>
      <c r="L187" s="3">
        <v>0.72499999999999998</v>
      </c>
      <c r="M187" s="3">
        <v>0</v>
      </c>
      <c r="N187" s="3">
        <v>0</v>
      </c>
      <c r="O187" s="4">
        <f t="shared" si="2"/>
        <v>0.93617021276595747</v>
      </c>
    </row>
    <row r="188" spans="1:15" x14ac:dyDescent="0.2">
      <c r="A188" t="s">
        <v>220</v>
      </c>
      <c r="B188" t="s">
        <v>221</v>
      </c>
      <c r="C188" t="s">
        <v>10</v>
      </c>
      <c r="D188" t="s">
        <v>226</v>
      </c>
      <c r="E188" s="1">
        <v>4200</v>
      </c>
      <c r="F188" s="2">
        <v>2.9</v>
      </c>
      <c r="G188" s="6">
        <v>1.2999999999999999E-3</v>
      </c>
      <c r="H188" s="3">
        <v>4.4000000000000004E-2</v>
      </c>
      <c r="I188" s="3">
        <v>4.9000000000000002E-2</v>
      </c>
      <c r="J188" s="3">
        <v>5.2000000000000005E-2</v>
      </c>
      <c r="K188" s="3">
        <v>2.2000000000000002E-2</v>
      </c>
      <c r="L188" s="3">
        <v>0.75900000000000001</v>
      </c>
      <c r="M188" s="3">
        <v>0</v>
      </c>
      <c r="N188" s="3">
        <v>0</v>
      </c>
      <c r="O188" s="4">
        <f t="shared" si="2"/>
        <v>0.69047619047619047</v>
      </c>
    </row>
    <row r="189" spans="1:15" x14ac:dyDescent="0.2">
      <c r="A189" t="s">
        <v>220</v>
      </c>
      <c r="B189" t="s">
        <v>221</v>
      </c>
      <c r="C189" t="s">
        <v>10</v>
      </c>
      <c r="D189" t="s">
        <v>227</v>
      </c>
      <c r="E189" s="1">
        <v>4000</v>
      </c>
      <c r="F189" s="2">
        <v>0.1</v>
      </c>
      <c r="G189" s="6">
        <v>1E-4</v>
      </c>
      <c r="H189" s="3">
        <v>6.9999999999999993E-3</v>
      </c>
      <c r="I189" s="3">
        <v>5.0000000000000001E-3</v>
      </c>
      <c r="J189" s="3">
        <v>0</v>
      </c>
      <c r="K189" s="3">
        <v>0</v>
      </c>
      <c r="L189" s="3">
        <v>0.72699999999999998</v>
      </c>
      <c r="M189" s="3">
        <v>0</v>
      </c>
      <c r="N189" s="3">
        <v>0</v>
      </c>
      <c r="O189" s="4">
        <f t="shared" si="2"/>
        <v>2.5000000000000001E-2</v>
      </c>
    </row>
    <row r="190" spans="1:15" x14ac:dyDescent="0.2">
      <c r="A190" t="s">
        <v>220</v>
      </c>
      <c r="B190" t="s">
        <v>221</v>
      </c>
      <c r="C190" t="s">
        <v>10</v>
      </c>
      <c r="D190" t="s">
        <v>228</v>
      </c>
      <c r="E190" s="1">
        <v>4000</v>
      </c>
      <c r="F190" s="2">
        <v>0</v>
      </c>
      <c r="G190" s="6">
        <v>1E-4</v>
      </c>
      <c r="H190" s="3">
        <v>0</v>
      </c>
      <c r="I190" s="3">
        <v>0</v>
      </c>
      <c r="J190" s="3">
        <v>0</v>
      </c>
      <c r="K190" s="3">
        <v>0</v>
      </c>
      <c r="L190" s="3">
        <v>0.67200000000000004</v>
      </c>
      <c r="M190" s="3">
        <v>0</v>
      </c>
      <c r="N190" s="3">
        <v>0</v>
      </c>
      <c r="O190" s="4">
        <f t="shared" si="2"/>
        <v>0</v>
      </c>
    </row>
    <row r="191" spans="1:15" x14ac:dyDescent="0.2">
      <c r="A191" t="s">
        <v>220</v>
      </c>
      <c r="B191" t="s">
        <v>221</v>
      </c>
      <c r="C191" t="s">
        <v>11</v>
      </c>
      <c r="D191" t="s">
        <v>229</v>
      </c>
      <c r="E191" s="1">
        <v>5800</v>
      </c>
      <c r="F191" s="2">
        <v>15</v>
      </c>
      <c r="G191" s="6">
        <v>5.4000000000000006E-2</v>
      </c>
      <c r="H191" s="3">
        <v>0</v>
      </c>
      <c r="I191" s="3">
        <v>0</v>
      </c>
      <c r="J191" s="3">
        <v>0.30099999999999999</v>
      </c>
      <c r="K191" s="3">
        <v>0.36299999999999999</v>
      </c>
      <c r="L191" s="3">
        <v>0.64300000000000002</v>
      </c>
      <c r="M191" s="3">
        <v>0</v>
      </c>
      <c r="N191" s="3">
        <v>0</v>
      </c>
      <c r="O191" s="4">
        <f t="shared" si="2"/>
        <v>2.5862068965517242</v>
      </c>
    </row>
    <row r="192" spans="1:15" x14ac:dyDescent="0.2">
      <c r="A192" t="s">
        <v>220</v>
      </c>
      <c r="B192" t="s">
        <v>221</v>
      </c>
      <c r="C192" t="s">
        <v>11</v>
      </c>
      <c r="D192" t="s">
        <v>230</v>
      </c>
      <c r="E192" s="1">
        <v>4000</v>
      </c>
      <c r="F192" s="2">
        <v>8.9</v>
      </c>
      <c r="G192" s="6">
        <v>8.1000000000000013E-3</v>
      </c>
      <c r="H192" s="3">
        <v>4.0000000000000001E-3</v>
      </c>
      <c r="I192" s="3">
        <v>5.0000000000000001E-3</v>
      </c>
      <c r="J192" s="3">
        <v>0.19</v>
      </c>
      <c r="K192" s="3">
        <v>0.20399999999999999</v>
      </c>
      <c r="L192" s="3">
        <v>0.45100000000000001</v>
      </c>
      <c r="M192" s="3">
        <v>0</v>
      </c>
      <c r="N192" s="3">
        <v>0</v>
      </c>
      <c r="O192" s="4">
        <f t="shared" si="2"/>
        <v>2.2250000000000001</v>
      </c>
    </row>
    <row r="193" spans="1:15" x14ac:dyDescent="0.2">
      <c r="A193" t="s">
        <v>220</v>
      </c>
      <c r="B193" t="s">
        <v>221</v>
      </c>
      <c r="C193" t="s">
        <v>11</v>
      </c>
      <c r="D193" t="s">
        <v>231</v>
      </c>
      <c r="E193" s="1">
        <v>4100</v>
      </c>
      <c r="F193" s="2">
        <v>3.4</v>
      </c>
      <c r="G193" s="6">
        <v>2.2000000000000001E-3</v>
      </c>
      <c r="H193" s="3">
        <v>0</v>
      </c>
      <c r="I193" s="3">
        <v>0</v>
      </c>
      <c r="J193" s="3">
        <v>6.7000000000000004E-2</v>
      </c>
      <c r="K193" s="3">
        <v>0.08</v>
      </c>
      <c r="L193" s="3">
        <v>0.63</v>
      </c>
      <c r="M193" s="3">
        <v>0</v>
      </c>
      <c r="N193" s="3">
        <v>0</v>
      </c>
      <c r="O193" s="4">
        <f t="shared" si="2"/>
        <v>0.8292682926829269</v>
      </c>
    </row>
    <row r="194" spans="1:15" x14ac:dyDescent="0.2">
      <c r="A194" t="s">
        <v>220</v>
      </c>
      <c r="B194" t="s">
        <v>221</v>
      </c>
      <c r="C194" t="s">
        <v>11</v>
      </c>
      <c r="D194" t="s">
        <v>232</v>
      </c>
      <c r="E194" s="1">
        <v>3000</v>
      </c>
      <c r="F194" s="2">
        <v>2.5</v>
      </c>
      <c r="G194" s="6">
        <v>4.0000000000000002E-4</v>
      </c>
      <c r="H194" s="3">
        <v>1.1000000000000001E-2</v>
      </c>
      <c r="I194" s="3">
        <v>1.2E-2</v>
      </c>
      <c r="J194" s="3">
        <v>4.4999999999999998E-2</v>
      </c>
      <c r="K194" s="3">
        <v>0.05</v>
      </c>
      <c r="L194" s="3">
        <v>0.69700000000000006</v>
      </c>
      <c r="M194" s="3">
        <v>0</v>
      </c>
      <c r="N194" s="3">
        <v>0</v>
      </c>
      <c r="O194" s="4">
        <f t="shared" si="2"/>
        <v>0.83333333333333337</v>
      </c>
    </row>
    <row r="195" spans="1:15" x14ac:dyDescent="0.2">
      <c r="A195" t="s">
        <v>220</v>
      </c>
      <c r="B195" t="s">
        <v>221</v>
      </c>
      <c r="C195" t="s">
        <v>11</v>
      </c>
      <c r="D195" t="s">
        <v>233</v>
      </c>
      <c r="E195" s="1">
        <v>3000</v>
      </c>
      <c r="F195" s="2">
        <v>0</v>
      </c>
      <c r="G195" s="6">
        <v>1E-4</v>
      </c>
      <c r="H195" s="3">
        <v>0</v>
      </c>
      <c r="I195" s="3">
        <v>0</v>
      </c>
      <c r="J195" s="3">
        <v>0</v>
      </c>
      <c r="K195" s="3">
        <v>0</v>
      </c>
      <c r="L195" s="3">
        <v>0.69499999999999995</v>
      </c>
      <c r="M195" s="3">
        <v>0</v>
      </c>
      <c r="N195" s="3">
        <v>0</v>
      </c>
      <c r="O195" s="4">
        <f t="shared" ref="O195:O258" si="3">IFERROR(F195/(E195/1000),"")</f>
        <v>0</v>
      </c>
    </row>
    <row r="196" spans="1:15" x14ac:dyDescent="0.2">
      <c r="A196" t="s">
        <v>220</v>
      </c>
      <c r="B196" t="s">
        <v>221</v>
      </c>
      <c r="C196" t="s">
        <v>11</v>
      </c>
      <c r="D196" t="s">
        <v>234</v>
      </c>
      <c r="E196" s="1">
        <v>3000</v>
      </c>
      <c r="F196" s="2">
        <v>0.2</v>
      </c>
      <c r="G196" s="6">
        <v>1E-4</v>
      </c>
      <c r="H196" s="3">
        <v>1.1000000000000001E-2</v>
      </c>
      <c r="I196" s="3">
        <v>1.2E-2</v>
      </c>
      <c r="J196" s="3">
        <v>0</v>
      </c>
      <c r="K196" s="3">
        <v>0</v>
      </c>
      <c r="L196" s="3">
        <v>0.52</v>
      </c>
      <c r="M196" s="3">
        <v>0</v>
      </c>
      <c r="N196" s="3">
        <v>0</v>
      </c>
      <c r="O196" s="4">
        <f t="shared" si="3"/>
        <v>6.6666666666666666E-2</v>
      </c>
    </row>
    <row r="197" spans="1:15" x14ac:dyDescent="0.2">
      <c r="A197" t="s">
        <v>220</v>
      </c>
      <c r="B197" t="s">
        <v>221</v>
      </c>
      <c r="C197" t="s">
        <v>12</v>
      </c>
      <c r="D197" t="s">
        <v>235</v>
      </c>
      <c r="E197" s="1">
        <v>2800</v>
      </c>
      <c r="F197" s="2">
        <v>6.4</v>
      </c>
      <c r="G197" s="6">
        <v>4.5000000000000005E-3</v>
      </c>
      <c r="H197" s="3">
        <v>0</v>
      </c>
      <c r="I197" s="3">
        <v>0</v>
      </c>
      <c r="J197" s="3">
        <v>0.13800000000000001</v>
      </c>
      <c r="K197" s="3">
        <v>0.14699999999999999</v>
      </c>
      <c r="L197" s="3">
        <v>0.68400000000000005</v>
      </c>
      <c r="M197" s="3">
        <v>0</v>
      </c>
      <c r="N197" s="3">
        <v>0</v>
      </c>
      <c r="O197" s="4">
        <f t="shared" si="3"/>
        <v>2.285714285714286</v>
      </c>
    </row>
    <row r="198" spans="1:15" x14ac:dyDescent="0.2">
      <c r="A198" t="s">
        <v>220</v>
      </c>
      <c r="B198" t="s">
        <v>221</v>
      </c>
      <c r="C198" t="s">
        <v>12</v>
      </c>
      <c r="D198" t="s">
        <v>236</v>
      </c>
      <c r="E198" s="1">
        <v>3800</v>
      </c>
      <c r="F198" s="2">
        <v>2.6</v>
      </c>
      <c r="G198" s="6">
        <v>1.4000000000000002E-3</v>
      </c>
      <c r="H198" s="3">
        <v>0</v>
      </c>
      <c r="I198" s="3">
        <v>0</v>
      </c>
      <c r="J198" s="3">
        <v>5.9000000000000004E-2</v>
      </c>
      <c r="K198" s="3">
        <v>6.0999999999999999E-2</v>
      </c>
      <c r="L198" s="3">
        <v>0.72400000000000009</v>
      </c>
      <c r="M198" s="3">
        <v>0</v>
      </c>
      <c r="N198" s="3">
        <v>0</v>
      </c>
      <c r="O198" s="4">
        <f t="shared" si="3"/>
        <v>0.68421052631578949</v>
      </c>
    </row>
    <row r="199" spans="1:15" x14ac:dyDescent="0.2">
      <c r="A199" t="s">
        <v>220</v>
      </c>
      <c r="B199" t="s">
        <v>221</v>
      </c>
      <c r="C199" t="s">
        <v>12</v>
      </c>
      <c r="D199" t="s">
        <v>237</v>
      </c>
      <c r="E199" s="1">
        <v>2500</v>
      </c>
      <c r="F199" s="2">
        <v>0.2</v>
      </c>
      <c r="G199" s="6">
        <v>8.0000000000000004E-4</v>
      </c>
      <c r="H199" s="3">
        <v>0</v>
      </c>
      <c r="I199" s="3">
        <v>0</v>
      </c>
      <c r="J199" s="3">
        <v>4.0000000000000001E-3</v>
      </c>
      <c r="K199" s="3">
        <v>5.0000000000000001E-3</v>
      </c>
      <c r="L199" s="3">
        <v>0.72</v>
      </c>
      <c r="M199" s="3">
        <v>0</v>
      </c>
      <c r="N199" s="3">
        <v>0</v>
      </c>
      <c r="O199" s="4">
        <f t="shared" si="3"/>
        <v>0.08</v>
      </c>
    </row>
    <row r="200" spans="1:15" x14ac:dyDescent="0.2">
      <c r="A200" t="s">
        <v>220</v>
      </c>
      <c r="B200" t="s">
        <v>221</v>
      </c>
      <c r="C200" t="s">
        <v>12</v>
      </c>
      <c r="D200" t="s">
        <v>238</v>
      </c>
      <c r="E200" s="1">
        <v>2500</v>
      </c>
      <c r="F200" s="2">
        <v>0</v>
      </c>
      <c r="G200" s="6">
        <v>0</v>
      </c>
      <c r="H200" s="3">
        <v>0</v>
      </c>
      <c r="I200" s="3">
        <v>0</v>
      </c>
      <c r="J200" s="3">
        <v>0</v>
      </c>
      <c r="K200" s="3">
        <v>0</v>
      </c>
      <c r="L200" s="3">
        <v>0.64599999999999991</v>
      </c>
      <c r="M200" s="3">
        <v>0</v>
      </c>
      <c r="N200" s="3">
        <v>0</v>
      </c>
      <c r="O200" s="4">
        <f t="shared" si="3"/>
        <v>0</v>
      </c>
    </row>
    <row r="201" spans="1:15" x14ac:dyDescent="0.2">
      <c r="A201" t="s">
        <v>220</v>
      </c>
      <c r="B201" t="s">
        <v>221</v>
      </c>
      <c r="C201" t="s">
        <v>13</v>
      </c>
      <c r="D201" t="s">
        <v>221</v>
      </c>
      <c r="E201" s="1">
        <v>2500</v>
      </c>
      <c r="F201" s="2">
        <v>6.9</v>
      </c>
      <c r="G201" s="6">
        <v>3.3700000000000001E-2</v>
      </c>
      <c r="H201" s="3"/>
      <c r="I201" s="3"/>
      <c r="J201" s="3"/>
      <c r="K201" s="3"/>
      <c r="L201" s="3"/>
      <c r="M201" s="3"/>
      <c r="N201" s="3"/>
      <c r="O201" s="4">
        <f t="shared" si="3"/>
        <v>2.7600000000000002</v>
      </c>
    </row>
    <row r="202" spans="1:15" x14ac:dyDescent="0.2">
      <c r="A202" t="s">
        <v>239</v>
      </c>
      <c r="B202" t="s">
        <v>240</v>
      </c>
      <c r="C202" t="s">
        <v>9</v>
      </c>
      <c r="D202" t="s">
        <v>241</v>
      </c>
      <c r="E202" s="1">
        <v>5100</v>
      </c>
      <c r="F202" s="2">
        <v>13.2</v>
      </c>
      <c r="G202" s="6">
        <v>1.5900000000000001E-2</v>
      </c>
      <c r="H202" s="3">
        <v>9.8000000000000004E-2</v>
      </c>
      <c r="I202" s="3">
        <v>0.158</v>
      </c>
      <c r="J202" s="3">
        <v>0</v>
      </c>
      <c r="K202" s="3">
        <v>0</v>
      </c>
      <c r="L202" s="3">
        <v>0</v>
      </c>
      <c r="M202" s="3">
        <v>1</v>
      </c>
      <c r="N202" s="3">
        <v>1.6E-2</v>
      </c>
      <c r="O202" s="4">
        <f t="shared" si="3"/>
        <v>2.5882352941176472</v>
      </c>
    </row>
    <row r="203" spans="1:15" x14ac:dyDescent="0.2">
      <c r="A203" t="s">
        <v>239</v>
      </c>
      <c r="B203" t="s">
        <v>240</v>
      </c>
      <c r="C203" t="s">
        <v>9</v>
      </c>
      <c r="D203" t="s">
        <v>242</v>
      </c>
      <c r="E203" s="1">
        <v>4000</v>
      </c>
      <c r="F203" s="2">
        <v>0</v>
      </c>
      <c r="G203" s="6">
        <v>0</v>
      </c>
      <c r="H203" s="3">
        <v>0</v>
      </c>
      <c r="I203" s="3">
        <v>0</v>
      </c>
      <c r="J203" s="3">
        <v>0</v>
      </c>
      <c r="K203" s="3">
        <v>0</v>
      </c>
      <c r="L203" s="3">
        <v>0</v>
      </c>
      <c r="M203" s="3">
        <v>0</v>
      </c>
      <c r="N203" s="3">
        <v>0</v>
      </c>
      <c r="O203" s="4">
        <f t="shared" si="3"/>
        <v>0</v>
      </c>
    </row>
    <row r="204" spans="1:15" x14ac:dyDescent="0.2">
      <c r="A204" t="s">
        <v>239</v>
      </c>
      <c r="B204" t="s">
        <v>240</v>
      </c>
      <c r="C204" t="s">
        <v>10</v>
      </c>
      <c r="D204" t="s">
        <v>243</v>
      </c>
      <c r="E204" s="1">
        <v>5600</v>
      </c>
      <c r="F204" s="2">
        <v>12.3</v>
      </c>
      <c r="G204" s="6">
        <v>5.7200000000000001E-2</v>
      </c>
      <c r="H204" s="3">
        <v>0.57499999999999996</v>
      </c>
      <c r="I204" s="3">
        <v>0.498</v>
      </c>
      <c r="J204" s="3">
        <v>7.2999999999999995E-2</v>
      </c>
      <c r="K204" s="3">
        <v>3.2000000000000001E-2</v>
      </c>
      <c r="L204" s="3">
        <v>0.75900000000000001</v>
      </c>
      <c r="M204" s="3">
        <v>0</v>
      </c>
      <c r="N204" s="3">
        <v>0</v>
      </c>
      <c r="O204" s="4">
        <f t="shared" si="3"/>
        <v>2.1964285714285716</v>
      </c>
    </row>
    <row r="205" spans="1:15" x14ac:dyDescent="0.2">
      <c r="A205" t="s">
        <v>239</v>
      </c>
      <c r="B205" t="s">
        <v>240</v>
      </c>
      <c r="C205" t="s">
        <v>10</v>
      </c>
      <c r="D205" t="s">
        <v>244</v>
      </c>
      <c r="E205" s="1">
        <v>5100</v>
      </c>
      <c r="F205" s="2">
        <v>8.9</v>
      </c>
      <c r="G205" s="6">
        <v>1.5100000000000001E-2</v>
      </c>
      <c r="H205" s="3">
        <v>0.253</v>
      </c>
      <c r="I205" s="3">
        <v>0.26500000000000001</v>
      </c>
      <c r="J205" s="3">
        <v>0.11</v>
      </c>
      <c r="K205" s="3">
        <v>5.0999999999999997E-2</v>
      </c>
      <c r="L205" s="3">
        <v>0.871</v>
      </c>
      <c r="M205" s="3">
        <v>0</v>
      </c>
      <c r="N205" s="3">
        <v>0</v>
      </c>
      <c r="O205" s="4">
        <f t="shared" si="3"/>
        <v>1.7450980392156865</v>
      </c>
    </row>
    <row r="206" spans="1:15" x14ac:dyDescent="0.2">
      <c r="A206" t="s">
        <v>239</v>
      </c>
      <c r="B206" t="s">
        <v>240</v>
      </c>
      <c r="C206" t="s">
        <v>10</v>
      </c>
      <c r="D206" t="s">
        <v>245</v>
      </c>
      <c r="E206" s="1">
        <v>4800</v>
      </c>
      <c r="F206" s="2">
        <v>1</v>
      </c>
      <c r="G206" s="6">
        <v>8.9999999999999998E-4</v>
      </c>
      <c r="H206" s="3">
        <v>4.7E-2</v>
      </c>
      <c r="I206" s="3">
        <v>0.05</v>
      </c>
      <c r="J206" s="3">
        <v>3.0000000000000001E-3</v>
      </c>
      <c r="K206" s="3">
        <v>1E-3</v>
      </c>
      <c r="L206" s="3">
        <v>0.78700000000000003</v>
      </c>
      <c r="M206" s="3">
        <v>0</v>
      </c>
      <c r="N206" s="3">
        <v>0</v>
      </c>
      <c r="O206" s="4">
        <f t="shared" si="3"/>
        <v>0.20833333333333334</v>
      </c>
    </row>
    <row r="207" spans="1:15" x14ac:dyDescent="0.2">
      <c r="A207" t="s">
        <v>239</v>
      </c>
      <c r="B207" t="s">
        <v>240</v>
      </c>
      <c r="C207" t="s">
        <v>10</v>
      </c>
      <c r="D207" t="s">
        <v>246</v>
      </c>
      <c r="E207" s="1">
        <v>4000</v>
      </c>
      <c r="F207" s="2">
        <v>0</v>
      </c>
      <c r="G207" s="6">
        <v>1E-4</v>
      </c>
      <c r="H207" s="3">
        <v>0</v>
      </c>
      <c r="I207" s="3">
        <v>0</v>
      </c>
      <c r="J207" s="3">
        <v>0</v>
      </c>
      <c r="K207" s="3">
        <v>0</v>
      </c>
      <c r="L207" s="3">
        <v>0.67299999999999993</v>
      </c>
      <c r="M207" s="3">
        <v>0</v>
      </c>
      <c r="N207" s="3">
        <v>0</v>
      </c>
      <c r="O207" s="4">
        <f t="shared" si="3"/>
        <v>0</v>
      </c>
    </row>
    <row r="208" spans="1:15" x14ac:dyDescent="0.2">
      <c r="A208" t="s">
        <v>239</v>
      </c>
      <c r="B208" t="s">
        <v>240</v>
      </c>
      <c r="C208" t="s">
        <v>11</v>
      </c>
      <c r="D208" t="s">
        <v>247</v>
      </c>
      <c r="E208" s="1">
        <v>4800</v>
      </c>
      <c r="F208" s="2">
        <v>10</v>
      </c>
      <c r="G208" s="6">
        <v>2.7200000000000002E-2</v>
      </c>
      <c r="H208" s="3">
        <v>6.9999999999999993E-3</v>
      </c>
      <c r="I208" s="3">
        <v>6.9999999999999993E-3</v>
      </c>
      <c r="J208" s="3">
        <v>0.221</v>
      </c>
      <c r="K208" s="3">
        <v>0.2</v>
      </c>
      <c r="L208" s="3">
        <v>0.66</v>
      </c>
      <c r="M208" s="3">
        <v>0</v>
      </c>
      <c r="N208" s="3">
        <v>0</v>
      </c>
      <c r="O208" s="4">
        <f t="shared" si="3"/>
        <v>2.0833333333333335</v>
      </c>
    </row>
    <row r="209" spans="1:15" x14ac:dyDescent="0.2">
      <c r="A209" t="s">
        <v>239</v>
      </c>
      <c r="B209" t="s">
        <v>240</v>
      </c>
      <c r="C209" t="s">
        <v>11</v>
      </c>
      <c r="D209" t="s">
        <v>248</v>
      </c>
      <c r="E209" s="1">
        <v>5300</v>
      </c>
      <c r="F209" s="2">
        <v>9.8000000000000007</v>
      </c>
      <c r="G209" s="6">
        <v>1.3899999999999999E-2</v>
      </c>
      <c r="H209" s="3">
        <v>0</v>
      </c>
      <c r="I209" s="3">
        <v>0</v>
      </c>
      <c r="J209" s="3">
        <v>0.18899999999999997</v>
      </c>
      <c r="K209" s="3">
        <v>0.23800000000000002</v>
      </c>
      <c r="L209" s="3">
        <v>0.63</v>
      </c>
      <c r="M209" s="3">
        <v>0</v>
      </c>
      <c r="N209" s="3">
        <v>0</v>
      </c>
      <c r="O209" s="4">
        <f t="shared" si="3"/>
        <v>1.8490566037735852</v>
      </c>
    </row>
    <row r="210" spans="1:15" x14ac:dyDescent="0.2">
      <c r="A210" t="s">
        <v>239</v>
      </c>
      <c r="B210" t="s">
        <v>240</v>
      </c>
      <c r="C210" t="s">
        <v>11</v>
      </c>
      <c r="D210" t="s">
        <v>249</v>
      </c>
      <c r="E210" s="1">
        <v>4500</v>
      </c>
      <c r="F210" s="2">
        <v>5.5</v>
      </c>
      <c r="G210" s="6">
        <v>1.8799999999999997E-2</v>
      </c>
      <c r="H210" s="3">
        <v>3.0000000000000001E-3</v>
      </c>
      <c r="I210" s="3">
        <v>5.0000000000000001E-3</v>
      </c>
      <c r="J210" s="3">
        <v>0.107</v>
      </c>
      <c r="K210" s="3">
        <v>0.16600000000000001</v>
      </c>
      <c r="L210" s="3">
        <v>0.52700000000000002</v>
      </c>
      <c r="M210" s="3">
        <v>0</v>
      </c>
      <c r="N210" s="3">
        <v>0</v>
      </c>
      <c r="O210" s="4">
        <f t="shared" si="3"/>
        <v>1.2222222222222223</v>
      </c>
    </row>
    <row r="211" spans="1:15" x14ac:dyDescent="0.2">
      <c r="A211" t="s">
        <v>239</v>
      </c>
      <c r="B211" t="s">
        <v>240</v>
      </c>
      <c r="C211" t="s">
        <v>11</v>
      </c>
      <c r="D211" t="s">
        <v>250</v>
      </c>
      <c r="E211" s="1">
        <v>3400</v>
      </c>
      <c r="F211" s="2">
        <v>3.2</v>
      </c>
      <c r="G211" s="6">
        <v>4.5000000000000005E-3</v>
      </c>
      <c r="H211" s="3">
        <v>1.7000000000000001E-2</v>
      </c>
      <c r="I211" s="3">
        <v>1.6E-2</v>
      </c>
      <c r="J211" s="3">
        <v>0.06</v>
      </c>
      <c r="K211" s="3">
        <v>0.04</v>
      </c>
      <c r="L211" s="3">
        <v>0.64599999999999991</v>
      </c>
      <c r="M211" s="3">
        <v>0</v>
      </c>
      <c r="N211" s="3">
        <v>0</v>
      </c>
      <c r="O211" s="4">
        <f t="shared" si="3"/>
        <v>0.94117647058823539</v>
      </c>
    </row>
    <row r="212" spans="1:15" x14ac:dyDescent="0.2">
      <c r="A212" t="s">
        <v>239</v>
      </c>
      <c r="B212" t="s">
        <v>240</v>
      </c>
      <c r="C212" t="s">
        <v>11</v>
      </c>
      <c r="D212" t="s">
        <v>251</v>
      </c>
      <c r="E212" s="1">
        <v>3600</v>
      </c>
      <c r="F212" s="2">
        <v>0.4</v>
      </c>
      <c r="G212" s="6">
        <v>7.4000000000000003E-3</v>
      </c>
      <c r="H212" s="3">
        <v>0</v>
      </c>
      <c r="I212" s="3">
        <v>0</v>
      </c>
      <c r="J212" s="3">
        <v>9.0000000000000011E-3</v>
      </c>
      <c r="K212" s="3">
        <v>9.0000000000000011E-3</v>
      </c>
      <c r="L212" s="3">
        <v>0.48100000000000004</v>
      </c>
      <c r="M212" s="3">
        <v>0</v>
      </c>
      <c r="N212" s="3">
        <v>0</v>
      </c>
      <c r="O212" s="4">
        <f t="shared" si="3"/>
        <v>0.11111111111111112</v>
      </c>
    </row>
    <row r="213" spans="1:15" x14ac:dyDescent="0.2">
      <c r="A213" t="s">
        <v>239</v>
      </c>
      <c r="B213" t="s">
        <v>240</v>
      </c>
      <c r="C213" t="s">
        <v>12</v>
      </c>
      <c r="D213" t="s">
        <v>252</v>
      </c>
      <c r="E213" s="1">
        <v>3200</v>
      </c>
      <c r="F213" s="2">
        <v>5.3</v>
      </c>
      <c r="G213" s="6">
        <v>7.0999999999999995E-3</v>
      </c>
      <c r="H213" s="3">
        <v>0</v>
      </c>
      <c r="I213" s="3">
        <v>0</v>
      </c>
      <c r="J213" s="3">
        <v>0.11</v>
      </c>
      <c r="K213" s="3">
        <v>0.129</v>
      </c>
      <c r="L213" s="3">
        <v>0.78599999999999992</v>
      </c>
      <c r="M213" s="3">
        <v>0</v>
      </c>
      <c r="N213" s="3">
        <v>0</v>
      </c>
      <c r="O213" s="4">
        <f t="shared" si="3"/>
        <v>1.6562499999999998</v>
      </c>
    </row>
    <row r="214" spans="1:15" x14ac:dyDescent="0.2">
      <c r="A214" t="s">
        <v>239</v>
      </c>
      <c r="B214" t="s">
        <v>240</v>
      </c>
      <c r="C214" t="s">
        <v>12</v>
      </c>
      <c r="D214" t="s">
        <v>253</v>
      </c>
      <c r="E214" s="1">
        <v>2700</v>
      </c>
      <c r="F214" s="2">
        <v>5</v>
      </c>
      <c r="G214" s="6">
        <v>1E-4</v>
      </c>
      <c r="H214" s="3">
        <v>0</v>
      </c>
      <c r="I214" s="3">
        <v>0</v>
      </c>
      <c r="J214" s="3">
        <v>9.8000000000000004E-2</v>
      </c>
      <c r="K214" s="3">
        <v>0.113</v>
      </c>
      <c r="L214" s="3">
        <v>0.75800000000000001</v>
      </c>
      <c r="M214" s="3">
        <v>0</v>
      </c>
      <c r="N214" s="3">
        <v>0</v>
      </c>
      <c r="O214" s="4">
        <f t="shared" si="3"/>
        <v>1.8518518518518516</v>
      </c>
    </row>
    <row r="215" spans="1:15" x14ac:dyDescent="0.2">
      <c r="A215" t="s">
        <v>239</v>
      </c>
      <c r="B215" t="s">
        <v>240</v>
      </c>
      <c r="C215" t="s">
        <v>12</v>
      </c>
      <c r="D215" t="s">
        <v>254</v>
      </c>
      <c r="E215" s="1">
        <v>2500</v>
      </c>
      <c r="F215" s="2">
        <v>1</v>
      </c>
      <c r="G215" s="6">
        <v>0</v>
      </c>
      <c r="H215" s="3">
        <v>0</v>
      </c>
      <c r="I215" s="3">
        <v>0</v>
      </c>
      <c r="J215" s="3">
        <v>1.9E-2</v>
      </c>
      <c r="K215" s="3">
        <v>2.2000000000000002E-2</v>
      </c>
      <c r="L215" s="3">
        <v>0.57100000000000006</v>
      </c>
      <c r="M215" s="3">
        <v>0</v>
      </c>
      <c r="N215" s="3">
        <v>0</v>
      </c>
      <c r="O215" s="4">
        <f t="shared" si="3"/>
        <v>0.4</v>
      </c>
    </row>
    <row r="216" spans="1:15" x14ac:dyDescent="0.2">
      <c r="A216" t="s">
        <v>239</v>
      </c>
      <c r="B216" t="s">
        <v>240</v>
      </c>
      <c r="C216" t="s">
        <v>12</v>
      </c>
      <c r="D216" t="s">
        <v>255</v>
      </c>
      <c r="E216" s="1">
        <v>2500</v>
      </c>
      <c r="F216" s="2">
        <v>0</v>
      </c>
      <c r="G216" s="6">
        <v>1E-4</v>
      </c>
      <c r="H216" s="3">
        <v>0</v>
      </c>
      <c r="I216" s="3">
        <v>0</v>
      </c>
      <c r="J216" s="3">
        <v>0</v>
      </c>
      <c r="K216" s="3">
        <v>0</v>
      </c>
      <c r="L216" s="3">
        <v>0.68400000000000005</v>
      </c>
      <c r="M216" s="3">
        <v>0</v>
      </c>
      <c r="N216" s="3">
        <v>0</v>
      </c>
      <c r="O216" s="4">
        <f t="shared" si="3"/>
        <v>0</v>
      </c>
    </row>
    <row r="217" spans="1:15" x14ac:dyDescent="0.2">
      <c r="A217" t="s">
        <v>239</v>
      </c>
      <c r="B217" t="s">
        <v>240</v>
      </c>
      <c r="C217" t="s">
        <v>14</v>
      </c>
      <c r="D217" t="s">
        <v>256</v>
      </c>
      <c r="E217" s="1"/>
      <c r="F217" s="2"/>
      <c r="G217" s="6">
        <v>0</v>
      </c>
      <c r="H217" s="3"/>
      <c r="I217" s="3"/>
      <c r="J217" s="3"/>
      <c r="K217" s="3"/>
      <c r="L217" s="3"/>
      <c r="M217" s="3"/>
      <c r="N217" s="3"/>
      <c r="O217" s="4" t="str">
        <f t="shared" si="3"/>
        <v/>
      </c>
    </row>
    <row r="218" spans="1:15" x14ac:dyDescent="0.2">
      <c r="A218" t="s">
        <v>239</v>
      </c>
      <c r="B218" t="s">
        <v>240</v>
      </c>
      <c r="C218" t="s">
        <v>13</v>
      </c>
      <c r="D218" t="s">
        <v>240</v>
      </c>
      <c r="E218" s="1">
        <v>3100</v>
      </c>
      <c r="F218" s="2">
        <v>7.9</v>
      </c>
      <c r="G218" s="6">
        <v>7.7600000000000002E-2</v>
      </c>
      <c r="H218" s="3"/>
      <c r="I218" s="3"/>
      <c r="J218" s="3"/>
      <c r="K218" s="3"/>
      <c r="L218" s="3"/>
      <c r="M218" s="3"/>
      <c r="N218" s="3"/>
      <c r="O218" s="4">
        <f t="shared" si="3"/>
        <v>2.5483870967741935</v>
      </c>
    </row>
    <row r="219" spans="1:15" x14ac:dyDescent="0.2">
      <c r="A219" t="s">
        <v>257</v>
      </c>
      <c r="B219" t="s">
        <v>258</v>
      </c>
      <c r="C219" t="s">
        <v>9</v>
      </c>
      <c r="D219" t="s">
        <v>259</v>
      </c>
      <c r="E219" s="1">
        <v>4000</v>
      </c>
      <c r="F219" s="2">
        <v>14.1</v>
      </c>
      <c r="G219" s="6">
        <v>0</v>
      </c>
      <c r="H219" s="3">
        <v>0.111</v>
      </c>
      <c r="I219" s="3">
        <v>7.6999999999999999E-2</v>
      </c>
      <c r="J219" s="3">
        <v>0</v>
      </c>
      <c r="K219" s="3">
        <v>0</v>
      </c>
      <c r="L219" s="3">
        <v>0</v>
      </c>
      <c r="M219" s="3">
        <v>1</v>
      </c>
      <c r="N219" s="3">
        <v>0</v>
      </c>
      <c r="O219" s="4">
        <f t="shared" si="3"/>
        <v>3.5249999999999999</v>
      </c>
    </row>
    <row r="220" spans="1:15" x14ac:dyDescent="0.2">
      <c r="A220" t="s">
        <v>257</v>
      </c>
      <c r="B220" t="s">
        <v>258</v>
      </c>
      <c r="C220" t="s">
        <v>9</v>
      </c>
      <c r="D220" t="s">
        <v>260</v>
      </c>
      <c r="E220" s="1">
        <v>4800</v>
      </c>
      <c r="F220" s="2">
        <v>0</v>
      </c>
      <c r="G220" s="6">
        <v>0</v>
      </c>
      <c r="H220" s="3">
        <v>0</v>
      </c>
      <c r="I220" s="3">
        <v>0</v>
      </c>
      <c r="J220" s="3">
        <v>0</v>
      </c>
      <c r="K220" s="3">
        <v>0</v>
      </c>
      <c r="L220" s="3">
        <v>0</v>
      </c>
      <c r="M220" s="3">
        <v>0</v>
      </c>
      <c r="N220" s="3">
        <v>0</v>
      </c>
      <c r="O220" s="4">
        <f t="shared" si="3"/>
        <v>0</v>
      </c>
    </row>
    <row r="221" spans="1:15" x14ac:dyDescent="0.2">
      <c r="A221" t="s">
        <v>257</v>
      </c>
      <c r="B221" t="s">
        <v>258</v>
      </c>
      <c r="C221" t="s">
        <v>9</v>
      </c>
      <c r="D221" t="s">
        <v>261</v>
      </c>
      <c r="E221" s="1">
        <v>4800</v>
      </c>
      <c r="F221" s="2">
        <v>0</v>
      </c>
      <c r="G221" s="6">
        <v>1.61E-2</v>
      </c>
      <c r="H221" s="3">
        <v>0</v>
      </c>
      <c r="I221" s="3">
        <v>0</v>
      </c>
      <c r="J221" s="3">
        <v>0</v>
      </c>
      <c r="K221" s="3">
        <v>0</v>
      </c>
      <c r="L221" s="3">
        <v>0</v>
      </c>
      <c r="M221" s="3">
        <v>0</v>
      </c>
      <c r="N221" s="3">
        <v>1.8000000000000002E-2</v>
      </c>
      <c r="O221" s="4">
        <f t="shared" si="3"/>
        <v>0</v>
      </c>
    </row>
    <row r="222" spans="1:15" x14ac:dyDescent="0.2">
      <c r="A222" t="s">
        <v>257</v>
      </c>
      <c r="B222" t="s">
        <v>258</v>
      </c>
      <c r="C222" t="s">
        <v>9</v>
      </c>
      <c r="D222" t="s">
        <v>262</v>
      </c>
      <c r="E222" s="1">
        <v>4000</v>
      </c>
      <c r="F222" s="2">
        <v>0</v>
      </c>
      <c r="G222" s="6">
        <v>0</v>
      </c>
      <c r="H222" s="3">
        <v>0</v>
      </c>
      <c r="I222" s="3">
        <v>0</v>
      </c>
      <c r="J222" s="3">
        <v>0</v>
      </c>
      <c r="K222" s="3">
        <v>0</v>
      </c>
      <c r="L222" s="3">
        <v>0</v>
      </c>
      <c r="M222" s="3">
        <v>0</v>
      </c>
      <c r="N222" s="3">
        <v>0</v>
      </c>
      <c r="O222" s="4">
        <f t="shared" si="3"/>
        <v>0</v>
      </c>
    </row>
    <row r="223" spans="1:15" x14ac:dyDescent="0.2">
      <c r="A223" t="s">
        <v>257</v>
      </c>
      <c r="B223" t="s">
        <v>258</v>
      </c>
      <c r="C223" t="s">
        <v>10</v>
      </c>
      <c r="D223" t="s">
        <v>263</v>
      </c>
      <c r="E223" s="1">
        <v>7700</v>
      </c>
      <c r="F223" s="2">
        <v>18.7</v>
      </c>
      <c r="G223" s="6">
        <v>8.5500000000000007E-2</v>
      </c>
      <c r="H223" s="3">
        <v>0.628</v>
      </c>
      <c r="I223" s="3">
        <v>0.65099999999999991</v>
      </c>
      <c r="J223" s="3">
        <v>0.18100000000000002</v>
      </c>
      <c r="K223" s="3">
        <v>8.8000000000000009E-2</v>
      </c>
      <c r="L223" s="3">
        <v>0.79900000000000004</v>
      </c>
      <c r="M223" s="3">
        <v>0</v>
      </c>
      <c r="N223" s="3">
        <v>0</v>
      </c>
      <c r="O223" s="4">
        <f t="shared" si="3"/>
        <v>2.4285714285714284</v>
      </c>
    </row>
    <row r="224" spans="1:15" x14ac:dyDescent="0.2">
      <c r="A224" t="s">
        <v>257</v>
      </c>
      <c r="B224" t="s">
        <v>258</v>
      </c>
      <c r="C224" t="s">
        <v>10</v>
      </c>
      <c r="D224" t="s">
        <v>264</v>
      </c>
      <c r="E224" s="1">
        <v>4700</v>
      </c>
      <c r="F224" s="2">
        <v>5.6</v>
      </c>
      <c r="G224" s="6">
        <v>4.0000000000000001E-3</v>
      </c>
      <c r="H224" s="3">
        <v>0.255</v>
      </c>
      <c r="I224" s="3">
        <v>0.26600000000000001</v>
      </c>
      <c r="J224" s="3">
        <v>3.2000000000000001E-2</v>
      </c>
      <c r="K224" s="3">
        <v>3.4000000000000002E-2</v>
      </c>
      <c r="L224" s="3">
        <v>0.76400000000000001</v>
      </c>
      <c r="M224" s="3">
        <v>0</v>
      </c>
      <c r="N224" s="3">
        <v>0</v>
      </c>
      <c r="O224" s="4">
        <f t="shared" si="3"/>
        <v>1.1914893617021276</v>
      </c>
    </row>
    <row r="225" spans="1:15" x14ac:dyDescent="0.2">
      <c r="A225" t="s">
        <v>257</v>
      </c>
      <c r="B225" t="s">
        <v>258</v>
      </c>
      <c r="C225" t="s">
        <v>11</v>
      </c>
      <c r="D225" t="s">
        <v>265</v>
      </c>
      <c r="E225" s="1">
        <v>6500</v>
      </c>
      <c r="F225" s="2">
        <v>13.4</v>
      </c>
      <c r="G225" s="6">
        <v>9.6699999999999994E-2</v>
      </c>
      <c r="H225" s="3">
        <v>0</v>
      </c>
      <c r="I225" s="3">
        <v>0</v>
      </c>
      <c r="J225" s="3">
        <v>0.27399999999999997</v>
      </c>
      <c r="K225" s="3">
        <v>0.29899999999999999</v>
      </c>
      <c r="L225" s="3">
        <v>0.623</v>
      </c>
      <c r="M225" s="3">
        <v>0</v>
      </c>
      <c r="N225" s="3">
        <v>0</v>
      </c>
      <c r="O225" s="4">
        <f t="shared" si="3"/>
        <v>2.0615384615384618</v>
      </c>
    </row>
    <row r="226" spans="1:15" x14ac:dyDescent="0.2">
      <c r="A226" t="s">
        <v>257</v>
      </c>
      <c r="B226" t="s">
        <v>258</v>
      </c>
      <c r="C226" t="s">
        <v>11</v>
      </c>
      <c r="D226" t="s">
        <v>266</v>
      </c>
      <c r="E226" s="1">
        <v>3500</v>
      </c>
      <c r="F226" s="2">
        <v>5.5</v>
      </c>
      <c r="G226" s="6">
        <v>6.9999999999999993E-3</v>
      </c>
      <c r="H226" s="3">
        <v>6.0000000000000001E-3</v>
      </c>
      <c r="I226" s="3">
        <v>6.0000000000000001E-3</v>
      </c>
      <c r="J226" s="3">
        <v>0.11</v>
      </c>
      <c r="K226" s="3">
        <v>0.105</v>
      </c>
      <c r="L226" s="3">
        <v>0.64900000000000002</v>
      </c>
      <c r="M226" s="3">
        <v>0</v>
      </c>
      <c r="N226" s="3">
        <v>0</v>
      </c>
      <c r="O226" s="4">
        <f t="shared" si="3"/>
        <v>1.5714285714285714</v>
      </c>
    </row>
    <row r="227" spans="1:15" x14ac:dyDescent="0.2">
      <c r="A227" t="s">
        <v>257</v>
      </c>
      <c r="B227" t="s">
        <v>258</v>
      </c>
      <c r="C227" t="s">
        <v>11</v>
      </c>
      <c r="D227" t="s">
        <v>267</v>
      </c>
      <c r="E227" s="1">
        <v>3700</v>
      </c>
      <c r="F227" s="2">
        <v>3.6</v>
      </c>
      <c r="G227" s="6">
        <v>1.1000000000000001E-3</v>
      </c>
      <c r="H227" s="3">
        <v>0</v>
      </c>
      <c r="I227" s="3">
        <v>0</v>
      </c>
      <c r="J227" s="3">
        <v>6.8000000000000005E-2</v>
      </c>
      <c r="K227" s="3">
        <v>0.13</v>
      </c>
      <c r="L227" s="3">
        <v>0.55000000000000004</v>
      </c>
      <c r="M227" s="3">
        <v>0</v>
      </c>
      <c r="N227" s="3">
        <v>0</v>
      </c>
      <c r="O227" s="4">
        <f t="shared" si="3"/>
        <v>0.97297297297297292</v>
      </c>
    </row>
    <row r="228" spans="1:15" x14ac:dyDescent="0.2">
      <c r="A228" t="s">
        <v>257</v>
      </c>
      <c r="B228" t="s">
        <v>258</v>
      </c>
      <c r="C228" t="s">
        <v>11</v>
      </c>
      <c r="D228" t="s">
        <v>268</v>
      </c>
      <c r="E228" s="1">
        <v>3800</v>
      </c>
      <c r="F228" s="2">
        <v>2.4</v>
      </c>
      <c r="G228" s="6">
        <v>2.3999999999999998E-3</v>
      </c>
      <c r="H228" s="3">
        <v>0</v>
      </c>
      <c r="I228" s="3">
        <v>0</v>
      </c>
      <c r="J228" s="3">
        <v>5.2999999999999999E-2</v>
      </c>
      <c r="K228" s="3">
        <v>0.05</v>
      </c>
      <c r="L228" s="3">
        <v>0.63</v>
      </c>
      <c r="M228" s="3">
        <v>0</v>
      </c>
      <c r="N228" s="3">
        <v>0</v>
      </c>
      <c r="O228" s="4">
        <f t="shared" si="3"/>
        <v>0.63157894736842102</v>
      </c>
    </row>
    <row r="229" spans="1:15" x14ac:dyDescent="0.2">
      <c r="A229" t="s">
        <v>257</v>
      </c>
      <c r="B229" t="s">
        <v>258</v>
      </c>
      <c r="C229" t="s">
        <v>11</v>
      </c>
      <c r="D229" t="s">
        <v>269</v>
      </c>
      <c r="E229" s="1">
        <v>3000</v>
      </c>
      <c r="F229" s="2">
        <v>0.6</v>
      </c>
      <c r="G229" s="6">
        <v>1E-4</v>
      </c>
      <c r="H229" s="3">
        <v>0</v>
      </c>
      <c r="I229" s="3">
        <v>0</v>
      </c>
      <c r="J229" s="3">
        <v>1.1000000000000001E-2</v>
      </c>
      <c r="K229" s="3">
        <v>0.01</v>
      </c>
      <c r="L229" s="3">
        <v>0.61099999999999999</v>
      </c>
      <c r="M229" s="3">
        <v>0</v>
      </c>
      <c r="N229" s="3">
        <v>0</v>
      </c>
      <c r="O229" s="4">
        <f t="shared" si="3"/>
        <v>0.19999999999999998</v>
      </c>
    </row>
    <row r="230" spans="1:15" x14ac:dyDescent="0.2">
      <c r="A230" t="s">
        <v>257</v>
      </c>
      <c r="B230" t="s">
        <v>258</v>
      </c>
      <c r="C230" t="s">
        <v>12</v>
      </c>
      <c r="D230" t="s">
        <v>270</v>
      </c>
      <c r="E230" s="1">
        <v>4700</v>
      </c>
      <c r="F230" s="2">
        <v>10.9</v>
      </c>
      <c r="G230" s="6">
        <v>5.04E-2</v>
      </c>
      <c r="H230" s="3">
        <v>0</v>
      </c>
      <c r="I230" s="3">
        <v>0</v>
      </c>
      <c r="J230" s="3">
        <v>0.21299999999999999</v>
      </c>
      <c r="K230" s="3">
        <v>0.215</v>
      </c>
      <c r="L230" s="3">
        <v>0.70400000000000007</v>
      </c>
      <c r="M230" s="3">
        <v>0</v>
      </c>
      <c r="N230" s="3">
        <v>0</v>
      </c>
      <c r="O230" s="4">
        <f t="shared" si="3"/>
        <v>2.3191489361702127</v>
      </c>
    </row>
    <row r="231" spans="1:15" x14ac:dyDescent="0.2">
      <c r="A231" t="s">
        <v>257</v>
      </c>
      <c r="B231" t="s">
        <v>258</v>
      </c>
      <c r="C231" t="s">
        <v>12</v>
      </c>
      <c r="D231" t="s">
        <v>271</v>
      </c>
      <c r="E231" s="1">
        <v>2500</v>
      </c>
      <c r="F231" s="2">
        <v>2</v>
      </c>
      <c r="G231" s="6">
        <v>1E-4</v>
      </c>
      <c r="H231" s="3">
        <v>0</v>
      </c>
      <c r="I231" s="3">
        <v>0</v>
      </c>
      <c r="J231" s="3">
        <v>3.9E-2</v>
      </c>
      <c r="K231" s="3">
        <v>0.04</v>
      </c>
      <c r="L231" s="3">
        <v>0.71799999999999997</v>
      </c>
      <c r="M231" s="3">
        <v>0</v>
      </c>
      <c r="N231" s="3">
        <v>0</v>
      </c>
      <c r="O231" s="4">
        <f t="shared" si="3"/>
        <v>0.8</v>
      </c>
    </row>
    <row r="232" spans="1:15" x14ac:dyDescent="0.2">
      <c r="A232" t="s">
        <v>257</v>
      </c>
      <c r="B232" t="s">
        <v>258</v>
      </c>
      <c r="C232" t="s">
        <v>12</v>
      </c>
      <c r="D232" t="s">
        <v>272</v>
      </c>
      <c r="E232" s="1">
        <v>2700</v>
      </c>
      <c r="F232" s="2">
        <v>1</v>
      </c>
      <c r="G232" s="6">
        <v>0</v>
      </c>
      <c r="H232" s="3">
        <v>0</v>
      </c>
      <c r="I232" s="3">
        <v>0</v>
      </c>
      <c r="J232" s="3">
        <v>1.8000000000000002E-2</v>
      </c>
      <c r="K232" s="3">
        <v>2.7999999999999997E-2</v>
      </c>
      <c r="L232" s="3">
        <v>0.77</v>
      </c>
      <c r="M232" s="3">
        <v>0</v>
      </c>
      <c r="N232" s="3">
        <v>0</v>
      </c>
      <c r="O232" s="4">
        <f t="shared" si="3"/>
        <v>0.37037037037037035</v>
      </c>
    </row>
    <row r="233" spans="1:15" x14ac:dyDescent="0.2">
      <c r="A233" t="s">
        <v>257</v>
      </c>
      <c r="B233" t="s">
        <v>258</v>
      </c>
      <c r="C233" t="s">
        <v>14</v>
      </c>
      <c r="D233" t="s">
        <v>273</v>
      </c>
      <c r="E233" s="1"/>
      <c r="F233" s="2"/>
      <c r="G233" s="6">
        <v>0</v>
      </c>
      <c r="H233" s="3"/>
      <c r="I233" s="3"/>
      <c r="J233" s="3"/>
      <c r="K233" s="3"/>
      <c r="L233" s="3"/>
      <c r="M233" s="3"/>
      <c r="N233" s="3"/>
      <c r="O233" s="4" t="str">
        <f t="shared" si="3"/>
        <v/>
      </c>
    </row>
    <row r="234" spans="1:15" x14ac:dyDescent="0.2">
      <c r="A234" t="s">
        <v>257</v>
      </c>
      <c r="B234" t="s">
        <v>258</v>
      </c>
      <c r="C234" t="s">
        <v>13</v>
      </c>
      <c r="D234" t="s">
        <v>258</v>
      </c>
      <c r="E234" s="1">
        <v>2600</v>
      </c>
      <c r="F234" s="2">
        <v>6.8</v>
      </c>
      <c r="G234" s="6">
        <v>2.7900000000000001E-2</v>
      </c>
      <c r="H234" s="3"/>
      <c r="I234" s="3"/>
      <c r="J234" s="3"/>
      <c r="K234" s="3"/>
      <c r="L234" s="3"/>
      <c r="M234" s="3"/>
      <c r="N234" s="3"/>
      <c r="O234" s="4">
        <f t="shared" si="3"/>
        <v>2.6153846153846154</v>
      </c>
    </row>
    <row r="235" spans="1:15" x14ac:dyDescent="0.2">
      <c r="A235" t="s">
        <v>274</v>
      </c>
      <c r="B235" t="s">
        <v>275</v>
      </c>
      <c r="C235" t="s">
        <v>9</v>
      </c>
      <c r="D235" t="s">
        <v>276</v>
      </c>
      <c r="E235" s="1">
        <v>5300</v>
      </c>
      <c r="F235" s="2">
        <v>13.7</v>
      </c>
      <c r="G235" s="6">
        <v>3.7499999999999999E-2</v>
      </c>
      <c r="H235" s="3">
        <v>4.2999999999999997E-2</v>
      </c>
      <c r="I235" s="3">
        <v>4.5999999999999999E-2</v>
      </c>
      <c r="J235" s="3">
        <v>0</v>
      </c>
      <c r="K235" s="3">
        <v>0</v>
      </c>
      <c r="L235" s="3">
        <v>0</v>
      </c>
      <c r="M235" s="3">
        <v>1</v>
      </c>
      <c r="N235" s="3">
        <v>1.7000000000000001E-2</v>
      </c>
      <c r="O235" s="4">
        <f t="shared" si="3"/>
        <v>2.5849056603773586</v>
      </c>
    </row>
    <row r="236" spans="1:15" x14ac:dyDescent="0.2">
      <c r="A236" t="s">
        <v>274</v>
      </c>
      <c r="B236" t="s">
        <v>275</v>
      </c>
      <c r="C236" t="s">
        <v>9</v>
      </c>
      <c r="D236" t="s">
        <v>277</v>
      </c>
      <c r="E236" s="1">
        <v>4000</v>
      </c>
      <c r="F236" s="2">
        <v>0</v>
      </c>
      <c r="G236" s="6">
        <v>0</v>
      </c>
      <c r="H236" s="3">
        <v>0</v>
      </c>
      <c r="I236" s="3">
        <v>0</v>
      </c>
      <c r="J236" s="3">
        <v>0</v>
      </c>
      <c r="K236" s="3">
        <v>0</v>
      </c>
      <c r="L236" s="3">
        <v>0</v>
      </c>
      <c r="M236" s="3">
        <v>0</v>
      </c>
      <c r="N236" s="3">
        <v>0</v>
      </c>
      <c r="O236" s="4">
        <f t="shared" si="3"/>
        <v>0</v>
      </c>
    </row>
    <row r="237" spans="1:15" x14ac:dyDescent="0.2">
      <c r="A237" t="s">
        <v>274</v>
      </c>
      <c r="B237" t="s">
        <v>275</v>
      </c>
      <c r="C237" t="s">
        <v>9</v>
      </c>
      <c r="D237" t="s">
        <v>278</v>
      </c>
      <c r="E237" s="1">
        <v>4000</v>
      </c>
      <c r="F237" s="2">
        <v>0</v>
      </c>
      <c r="G237" s="6">
        <v>0</v>
      </c>
      <c r="H237" s="3">
        <v>0</v>
      </c>
      <c r="I237" s="3">
        <v>0</v>
      </c>
      <c r="J237" s="3">
        <v>0</v>
      </c>
      <c r="K237" s="3">
        <v>0</v>
      </c>
      <c r="L237" s="3">
        <v>0</v>
      </c>
      <c r="M237" s="3">
        <v>0</v>
      </c>
      <c r="N237" s="3">
        <v>0</v>
      </c>
      <c r="O237" s="4">
        <f t="shared" si="3"/>
        <v>0</v>
      </c>
    </row>
    <row r="238" spans="1:15" x14ac:dyDescent="0.2">
      <c r="A238" t="s">
        <v>274</v>
      </c>
      <c r="B238" t="s">
        <v>275</v>
      </c>
      <c r="C238" t="s">
        <v>9</v>
      </c>
      <c r="D238" t="s">
        <v>279</v>
      </c>
      <c r="E238" s="1">
        <v>4000</v>
      </c>
      <c r="F238" s="2">
        <v>0</v>
      </c>
      <c r="G238" s="6">
        <v>0</v>
      </c>
      <c r="H238" s="3">
        <v>0</v>
      </c>
      <c r="I238" s="3">
        <v>0</v>
      </c>
      <c r="J238" s="3">
        <v>0</v>
      </c>
      <c r="K238" s="3">
        <v>0</v>
      </c>
      <c r="L238" s="3">
        <v>0</v>
      </c>
      <c r="M238" s="3">
        <v>0</v>
      </c>
      <c r="N238" s="3">
        <v>0</v>
      </c>
      <c r="O238" s="4">
        <f t="shared" si="3"/>
        <v>0</v>
      </c>
    </row>
    <row r="239" spans="1:15" x14ac:dyDescent="0.2">
      <c r="A239" t="s">
        <v>274</v>
      </c>
      <c r="B239" t="s">
        <v>275</v>
      </c>
      <c r="C239" t="s">
        <v>10</v>
      </c>
      <c r="D239" t="s">
        <v>280</v>
      </c>
      <c r="E239" s="1">
        <v>5400</v>
      </c>
      <c r="F239" s="2">
        <v>14.3</v>
      </c>
      <c r="G239" s="6">
        <v>5.7300000000000004E-2</v>
      </c>
      <c r="H239" s="3">
        <v>0.49200000000000005</v>
      </c>
      <c r="I239" s="3">
        <v>0.50900000000000001</v>
      </c>
      <c r="J239" s="3">
        <v>0.12300000000000001</v>
      </c>
      <c r="K239" s="3">
        <v>5.7000000000000002E-2</v>
      </c>
      <c r="L239" s="3">
        <v>0.84099999999999997</v>
      </c>
      <c r="M239" s="3">
        <v>0</v>
      </c>
      <c r="N239" s="3">
        <v>0</v>
      </c>
      <c r="O239" s="4">
        <f t="shared" si="3"/>
        <v>2.6481481481481479</v>
      </c>
    </row>
    <row r="240" spans="1:15" x14ac:dyDescent="0.2">
      <c r="A240" t="s">
        <v>274</v>
      </c>
      <c r="B240" t="s">
        <v>275</v>
      </c>
      <c r="C240" t="s">
        <v>10</v>
      </c>
      <c r="D240" t="s">
        <v>281</v>
      </c>
      <c r="E240" s="1">
        <v>5200</v>
      </c>
      <c r="F240" s="2">
        <v>12</v>
      </c>
      <c r="G240" s="6">
        <v>3.3300000000000003E-2</v>
      </c>
      <c r="H240" s="3">
        <v>0.45600000000000002</v>
      </c>
      <c r="I240" s="3">
        <v>0.434</v>
      </c>
      <c r="J240" s="3">
        <v>0.121</v>
      </c>
      <c r="K240" s="3">
        <v>5.7000000000000002E-2</v>
      </c>
      <c r="L240" s="3">
        <v>0.78799999999999992</v>
      </c>
      <c r="M240" s="3">
        <v>0</v>
      </c>
      <c r="N240" s="3">
        <v>0</v>
      </c>
      <c r="O240" s="4">
        <f t="shared" si="3"/>
        <v>2.3076923076923075</v>
      </c>
    </row>
    <row r="241" spans="1:15" x14ac:dyDescent="0.2">
      <c r="A241" t="s">
        <v>274</v>
      </c>
      <c r="B241" t="s">
        <v>275</v>
      </c>
      <c r="C241" t="s">
        <v>10</v>
      </c>
      <c r="D241" t="s">
        <v>282</v>
      </c>
      <c r="E241" s="1">
        <v>4000</v>
      </c>
      <c r="F241" s="2">
        <v>0.5</v>
      </c>
      <c r="G241" s="6">
        <v>1E-4</v>
      </c>
      <c r="H241" s="3">
        <v>9.0000000000000011E-3</v>
      </c>
      <c r="I241" s="3">
        <v>1.1000000000000001E-2</v>
      </c>
      <c r="J241" s="3">
        <v>9.0000000000000011E-3</v>
      </c>
      <c r="K241" s="3">
        <v>8.0000000000000002E-3</v>
      </c>
      <c r="L241" s="3">
        <v>0.78700000000000003</v>
      </c>
      <c r="M241" s="3">
        <v>0</v>
      </c>
      <c r="N241" s="3">
        <v>0</v>
      </c>
      <c r="O241" s="4">
        <f t="shared" si="3"/>
        <v>0.125</v>
      </c>
    </row>
    <row r="242" spans="1:15" x14ac:dyDescent="0.2">
      <c r="A242" t="s">
        <v>274</v>
      </c>
      <c r="B242" t="s">
        <v>275</v>
      </c>
      <c r="C242" t="s">
        <v>10</v>
      </c>
      <c r="D242" t="s">
        <v>283</v>
      </c>
      <c r="E242" s="1">
        <v>4000</v>
      </c>
      <c r="F242" s="2">
        <v>0</v>
      </c>
      <c r="G242" s="6">
        <v>1E-4</v>
      </c>
      <c r="H242" s="3">
        <v>0</v>
      </c>
      <c r="I242" s="3">
        <v>0</v>
      </c>
      <c r="J242" s="3">
        <v>0</v>
      </c>
      <c r="K242" s="3">
        <v>0</v>
      </c>
      <c r="L242" s="3">
        <v>0.78700000000000003</v>
      </c>
      <c r="M242" s="3">
        <v>0</v>
      </c>
      <c r="N242" s="3">
        <v>0</v>
      </c>
      <c r="O242" s="4">
        <f t="shared" si="3"/>
        <v>0</v>
      </c>
    </row>
    <row r="243" spans="1:15" x14ac:dyDescent="0.2">
      <c r="A243" t="s">
        <v>274</v>
      </c>
      <c r="B243" t="s">
        <v>275</v>
      </c>
      <c r="C243" t="s">
        <v>11</v>
      </c>
      <c r="D243" t="s">
        <v>284</v>
      </c>
      <c r="E243" s="1">
        <v>5400</v>
      </c>
      <c r="F243" s="2">
        <v>10.8</v>
      </c>
      <c r="G243" s="6">
        <v>4.3899999999999995E-2</v>
      </c>
      <c r="H243" s="3">
        <v>0</v>
      </c>
      <c r="I243" s="3">
        <v>0</v>
      </c>
      <c r="J243" s="3">
        <v>0.20300000000000001</v>
      </c>
      <c r="K243" s="3">
        <v>0.247</v>
      </c>
      <c r="L243" s="3">
        <v>0.60499999999999998</v>
      </c>
      <c r="M243" s="3">
        <v>0</v>
      </c>
      <c r="N243" s="3">
        <v>0</v>
      </c>
      <c r="O243" s="4">
        <f t="shared" si="3"/>
        <v>2</v>
      </c>
    </row>
    <row r="244" spans="1:15" x14ac:dyDescent="0.2">
      <c r="A244" t="s">
        <v>274</v>
      </c>
      <c r="B244" t="s">
        <v>275</v>
      </c>
      <c r="C244" t="s">
        <v>11</v>
      </c>
      <c r="D244" t="s">
        <v>285</v>
      </c>
      <c r="E244" s="1">
        <v>4900</v>
      </c>
      <c r="F244" s="2">
        <v>9.5</v>
      </c>
      <c r="G244" s="6">
        <v>2.18E-2</v>
      </c>
      <c r="H244" s="3">
        <v>0</v>
      </c>
      <c r="I244" s="3">
        <v>0</v>
      </c>
      <c r="J244" s="3">
        <v>0.17899999999999999</v>
      </c>
      <c r="K244" s="3">
        <v>0.20899999999999999</v>
      </c>
      <c r="L244" s="3">
        <v>0.66900000000000004</v>
      </c>
      <c r="M244" s="3">
        <v>0</v>
      </c>
      <c r="N244" s="3">
        <v>0</v>
      </c>
      <c r="O244" s="4">
        <f t="shared" si="3"/>
        <v>1.9387755102040816</v>
      </c>
    </row>
    <row r="245" spans="1:15" x14ac:dyDescent="0.2">
      <c r="A245" t="s">
        <v>274</v>
      </c>
      <c r="B245" t="s">
        <v>275</v>
      </c>
      <c r="C245" t="s">
        <v>11</v>
      </c>
      <c r="D245" t="s">
        <v>286</v>
      </c>
      <c r="E245" s="1">
        <v>3100</v>
      </c>
      <c r="F245" s="2">
        <v>4.9000000000000004</v>
      </c>
      <c r="G245" s="6">
        <v>5.9999999999999995E-4</v>
      </c>
      <c r="H245" s="3">
        <v>0</v>
      </c>
      <c r="I245" s="3">
        <v>0</v>
      </c>
      <c r="J245" s="3">
        <v>9.4E-2</v>
      </c>
      <c r="K245" s="3">
        <v>0.11</v>
      </c>
      <c r="L245" s="3">
        <v>0.59299999999999997</v>
      </c>
      <c r="M245" s="3">
        <v>0</v>
      </c>
      <c r="N245" s="3">
        <v>0</v>
      </c>
      <c r="O245" s="4">
        <f t="shared" si="3"/>
        <v>1.5806451612903227</v>
      </c>
    </row>
    <row r="246" spans="1:15" x14ac:dyDescent="0.2">
      <c r="A246" t="s">
        <v>274</v>
      </c>
      <c r="B246" t="s">
        <v>275</v>
      </c>
      <c r="C246" t="s">
        <v>11</v>
      </c>
      <c r="D246" t="s">
        <v>287</v>
      </c>
      <c r="E246" s="1">
        <v>3900</v>
      </c>
      <c r="F246" s="2">
        <v>2.2000000000000002</v>
      </c>
      <c r="G246" s="6">
        <v>2.8000000000000004E-3</v>
      </c>
      <c r="H246" s="3">
        <v>0</v>
      </c>
      <c r="I246" s="3">
        <v>0</v>
      </c>
      <c r="J246" s="3">
        <v>4.0999999999999995E-2</v>
      </c>
      <c r="K246" s="3">
        <v>4.7E-2</v>
      </c>
      <c r="L246" s="3">
        <v>0.63</v>
      </c>
      <c r="M246" s="3">
        <v>0</v>
      </c>
      <c r="N246" s="3">
        <v>0</v>
      </c>
      <c r="O246" s="4">
        <f t="shared" si="3"/>
        <v>0.56410256410256421</v>
      </c>
    </row>
    <row r="247" spans="1:15" x14ac:dyDescent="0.2">
      <c r="A247" t="s">
        <v>274</v>
      </c>
      <c r="B247" t="s">
        <v>275</v>
      </c>
      <c r="C247" t="s">
        <v>11</v>
      </c>
      <c r="D247" t="s">
        <v>288</v>
      </c>
      <c r="E247" s="1">
        <v>3000</v>
      </c>
      <c r="F247" s="2">
        <v>0.6</v>
      </c>
      <c r="G247" s="6">
        <v>1E-4</v>
      </c>
      <c r="H247" s="3">
        <v>0</v>
      </c>
      <c r="I247" s="3">
        <v>0</v>
      </c>
      <c r="J247" s="3">
        <v>1.2E-2</v>
      </c>
      <c r="K247" s="3">
        <v>1.3999999999999999E-2</v>
      </c>
      <c r="L247" s="3">
        <v>0.72</v>
      </c>
      <c r="M247" s="3">
        <v>0</v>
      </c>
      <c r="N247" s="3">
        <v>0</v>
      </c>
      <c r="O247" s="4">
        <f t="shared" si="3"/>
        <v>0.19999999999999998</v>
      </c>
    </row>
    <row r="248" spans="1:15" x14ac:dyDescent="0.2">
      <c r="A248" t="s">
        <v>274</v>
      </c>
      <c r="B248" t="s">
        <v>275</v>
      </c>
      <c r="C248" t="s">
        <v>11</v>
      </c>
      <c r="D248" t="s">
        <v>289</v>
      </c>
      <c r="E248" s="1">
        <v>3000</v>
      </c>
      <c r="F248" s="2">
        <v>0</v>
      </c>
      <c r="G248" s="6">
        <v>2.0000000000000001E-4</v>
      </c>
      <c r="H248" s="3">
        <v>0</v>
      </c>
      <c r="I248" s="3">
        <v>0</v>
      </c>
      <c r="J248" s="3">
        <v>0</v>
      </c>
      <c r="K248" s="3">
        <v>0</v>
      </c>
      <c r="L248" s="3">
        <v>0.63</v>
      </c>
      <c r="M248" s="3">
        <v>0</v>
      </c>
      <c r="N248" s="3">
        <v>0</v>
      </c>
      <c r="O248" s="4">
        <f t="shared" si="3"/>
        <v>0</v>
      </c>
    </row>
    <row r="249" spans="1:15" x14ac:dyDescent="0.2">
      <c r="A249" t="s">
        <v>274</v>
      </c>
      <c r="B249" t="s">
        <v>275</v>
      </c>
      <c r="C249" t="s">
        <v>12</v>
      </c>
      <c r="D249" t="s">
        <v>290</v>
      </c>
      <c r="E249" s="1">
        <v>3400</v>
      </c>
      <c r="F249" s="2">
        <v>7.5</v>
      </c>
      <c r="G249" s="6">
        <v>3.4599999999999999E-2</v>
      </c>
      <c r="H249" s="3">
        <v>0</v>
      </c>
      <c r="I249" s="3">
        <v>0</v>
      </c>
      <c r="J249" s="3">
        <v>0.13500000000000001</v>
      </c>
      <c r="K249" s="3">
        <v>0.161</v>
      </c>
      <c r="L249" s="3">
        <v>0.79599999999999993</v>
      </c>
      <c r="M249" s="3">
        <v>0</v>
      </c>
      <c r="N249" s="3">
        <v>0</v>
      </c>
      <c r="O249" s="4">
        <f t="shared" si="3"/>
        <v>2.2058823529411766</v>
      </c>
    </row>
    <row r="250" spans="1:15" x14ac:dyDescent="0.2">
      <c r="A250" t="s">
        <v>274</v>
      </c>
      <c r="B250" t="s">
        <v>275</v>
      </c>
      <c r="C250" t="s">
        <v>12</v>
      </c>
      <c r="D250" t="s">
        <v>291</v>
      </c>
      <c r="E250" s="1">
        <v>3000</v>
      </c>
      <c r="F250" s="2">
        <v>3.4</v>
      </c>
      <c r="G250" s="6">
        <v>9.1999999999999998E-3</v>
      </c>
      <c r="H250" s="3">
        <v>0</v>
      </c>
      <c r="I250" s="3">
        <v>0</v>
      </c>
      <c r="J250" s="3">
        <v>6.2E-2</v>
      </c>
      <c r="K250" s="3">
        <v>6.7000000000000004E-2</v>
      </c>
      <c r="L250" s="3">
        <v>0.7340000000000001</v>
      </c>
      <c r="M250" s="3">
        <v>0</v>
      </c>
      <c r="N250" s="3">
        <v>0</v>
      </c>
      <c r="O250" s="4">
        <f t="shared" si="3"/>
        <v>1.1333333333333333</v>
      </c>
    </row>
    <row r="251" spans="1:15" x14ac:dyDescent="0.2">
      <c r="A251" t="s">
        <v>274</v>
      </c>
      <c r="B251" t="s">
        <v>275</v>
      </c>
      <c r="C251" t="s">
        <v>12</v>
      </c>
      <c r="D251" t="s">
        <v>292</v>
      </c>
      <c r="E251" s="1">
        <v>2500</v>
      </c>
      <c r="F251" s="2">
        <v>1.1000000000000001</v>
      </c>
      <c r="G251" s="6">
        <v>0</v>
      </c>
      <c r="H251" s="3">
        <v>0</v>
      </c>
      <c r="I251" s="3">
        <v>0</v>
      </c>
      <c r="J251" s="3">
        <v>2.1000000000000001E-2</v>
      </c>
      <c r="K251" s="3">
        <v>2.3E-2</v>
      </c>
      <c r="L251" s="3">
        <v>0.745</v>
      </c>
      <c r="M251" s="3">
        <v>0</v>
      </c>
      <c r="N251" s="3">
        <v>0</v>
      </c>
      <c r="O251" s="4">
        <f t="shared" si="3"/>
        <v>0.44000000000000006</v>
      </c>
    </row>
    <row r="252" spans="1:15" x14ac:dyDescent="0.2">
      <c r="A252" t="s">
        <v>274</v>
      </c>
      <c r="B252" t="s">
        <v>275</v>
      </c>
      <c r="C252" t="s">
        <v>14</v>
      </c>
      <c r="D252" t="s">
        <v>293</v>
      </c>
      <c r="E252" s="1"/>
      <c r="F252" s="2"/>
      <c r="G252" s="6">
        <v>0</v>
      </c>
      <c r="H252" s="3"/>
      <c r="I252" s="3"/>
      <c r="J252" s="3"/>
      <c r="K252" s="3"/>
      <c r="L252" s="3"/>
      <c r="M252" s="3"/>
      <c r="N252" s="3"/>
      <c r="O252" s="4" t="str">
        <f t="shared" si="3"/>
        <v/>
      </c>
    </row>
    <row r="253" spans="1:15" x14ac:dyDescent="0.2">
      <c r="A253" t="s">
        <v>274</v>
      </c>
      <c r="B253" t="s">
        <v>275</v>
      </c>
      <c r="C253" t="s">
        <v>13</v>
      </c>
      <c r="D253" t="s">
        <v>275</v>
      </c>
      <c r="E253" s="1">
        <v>3300</v>
      </c>
      <c r="F253" s="2">
        <v>5.8</v>
      </c>
      <c r="G253" s="6">
        <v>4.36E-2</v>
      </c>
      <c r="H253" s="3"/>
      <c r="I253" s="3"/>
      <c r="J253" s="3"/>
      <c r="K253" s="3"/>
      <c r="L253" s="3"/>
      <c r="M253" s="3"/>
      <c r="N253" s="3"/>
      <c r="O253" s="4">
        <f t="shared" si="3"/>
        <v>1.7575757575757576</v>
      </c>
    </row>
    <row r="254" spans="1:15" x14ac:dyDescent="0.2">
      <c r="A254" t="s">
        <v>294</v>
      </c>
      <c r="B254" t="s">
        <v>295</v>
      </c>
      <c r="C254" t="s">
        <v>9</v>
      </c>
      <c r="D254" t="s">
        <v>296</v>
      </c>
      <c r="E254" s="1">
        <v>4700</v>
      </c>
      <c r="F254" s="2">
        <v>13.5</v>
      </c>
      <c r="G254" s="6">
        <v>9.4999999999999998E-3</v>
      </c>
      <c r="H254" s="3">
        <v>0.13200000000000001</v>
      </c>
      <c r="I254" s="3">
        <v>0.156</v>
      </c>
      <c r="J254" s="3">
        <v>0</v>
      </c>
      <c r="K254" s="3">
        <v>0</v>
      </c>
      <c r="L254" s="3">
        <v>0</v>
      </c>
      <c r="M254" s="3">
        <v>1</v>
      </c>
      <c r="N254" s="3">
        <v>1.9E-2</v>
      </c>
      <c r="O254" s="4">
        <f t="shared" si="3"/>
        <v>2.8723404255319149</v>
      </c>
    </row>
    <row r="255" spans="1:15" x14ac:dyDescent="0.2">
      <c r="A255" t="s">
        <v>294</v>
      </c>
      <c r="B255" t="s">
        <v>295</v>
      </c>
      <c r="C255" t="s">
        <v>9</v>
      </c>
      <c r="D255" t="s">
        <v>297</v>
      </c>
      <c r="E255" s="1">
        <v>4000</v>
      </c>
      <c r="F255" s="2">
        <v>0</v>
      </c>
      <c r="G255" s="6">
        <v>0</v>
      </c>
      <c r="H255" s="3">
        <v>0</v>
      </c>
      <c r="I255" s="3">
        <v>0</v>
      </c>
      <c r="J255" s="3">
        <v>0</v>
      </c>
      <c r="K255" s="3">
        <v>0</v>
      </c>
      <c r="L255" s="3">
        <v>0</v>
      </c>
      <c r="M255" s="3">
        <v>0</v>
      </c>
      <c r="N255" s="3">
        <v>0</v>
      </c>
      <c r="O255" s="4">
        <f t="shared" si="3"/>
        <v>0</v>
      </c>
    </row>
    <row r="256" spans="1:15" x14ac:dyDescent="0.2">
      <c r="A256" t="s">
        <v>294</v>
      </c>
      <c r="B256" t="s">
        <v>295</v>
      </c>
      <c r="C256" t="s">
        <v>9</v>
      </c>
      <c r="D256" t="s">
        <v>298</v>
      </c>
      <c r="E256" s="1">
        <v>4700</v>
      </c>
      <c r="F256" s="2">
        <v>0</v>
      </c>
      <c r="G256" s="6">
        <v>0</v>
      </c>
      <c r="H256" s="3">
        <v>0</v>
      </c>
      <c r="I256" s="3">
        <v>0</v>
      </c>
      <c r="J256" s="3">
        <v>0</v>
      </c>
      <c r="K256" s="3">
        <v>0</v>
      </c>
      <c r="L256" s="3">
        <v>0</v>
      </c>
      <c r="M256" s="3">
        <v>0</v>
      </c>
      <c r="N256" s="3">
        <v>0</v>
      </c>
      <c r="O256" s="4">
        <f t="shared" si="3"/>
        <v>0</v>
      </c>
    </row>
    <row r="257" spans="1:15" x14ac:dyDescent="0.2">
      <c r="A257" t="s">
        <v>294</v>
      </c>
      <c r="B257" t="s">
        <v>295</v>
      </c>
      <c r="C257" t="s">
        <v>10</v>
      </c>
      <c r="D257" t="s">
        <v>299</v>
      </c>
      <c r="E257" s="1">
        <v>5500</v>
      </c>
      <c r="F257" s="2">
        <v>13</v>
      </c>
      <c r="G257" s="6">
        <v>2.76E-2</v>
      </c>
      <c r="H257" s="3">
        <v>0.65799999999999992</v>
      </c>
      <c r="I257" s="3">
        <v>0.67299999999999993</v>
      </c>
      <c r="J257" s="3">
        <v>8.1000000000000003E-2</v>
      </c>
      <c r="K257" s="3">
        <v>4.0999999999999995E-2</v>
      </c>
      <c r="L257" s="3">
        <v>0.7390000000000001</v>
      </c>
      <c r="M257" s="3">
        <v>0</v>
      </c>
      <c r="N257" s="3">
        <v>0</v>
      </c>
      <c r="O257" s="4">
        <f t="shared" si="3"/>
        <v>2.3636363636363638</v>
      </c>
    </row>
    <row r="258" spans="1:15" x14ac:dyDescent="0.2">
      <c r="A258" t="s">
        <v>294</v>
      </c>
      <c r="B258" t="s">
        <v>295</v>
      </c>
      <c r="C258" t="s">
        <v>10</v>
      </c>
      <c r="D258" t="s">
        <v>300</v>
      </c>
      <c r="E258" s="1">
        <v>4700</v>
      </c>
      <c r="F258" s="2">
        <v>5.5</v>
      </c>
      <c r="G258" s="6">
        <v>1.5E-3</v>
      </c>
      <c r="H258" s="3">
        <v>0.16800000000000001</v>
      </c>
      <c r="I258" s="3">
        <v>0.14099999999999999</v>
      </c>
      <c r="J258" s="3">
        <v>6.9000000000000006E-2</v>
      </c>
      <c r="K258" s="3">
        <v>4.2000000000000003E-2</v>
      </c>
      <c r="L258" s="3">
        <v>0.81599999999999995</v>
      </c>
      <c r="M258" s="3">
        <v>0</v>
      </c>
      <c r="N258" s="3">
        <v>0</v>
      </c>
      <c r="O258" s="4">
        <f t="shared" si="3"/>
        <v>1.1702127659574468</v>
      </c>
    </row>
    <row r="259" spans="1:15" x14ac:dyDescent="0.2">
      <c r="A259" t="s">
        <v>294</v>
      </c>
      <c r="B259" t="s">
        <v>295</v>
      </c>
      <c r="C259" t="s">
        <v>10</v>
      </c>
      <c r="D259" t="s">
        <v>301</v>
      </c>
      <c r="E259" s="1">
        <v>4000</v>
      </c>
      <c r="F259" s="2">
        <v>0.7</v>
      </c>
      <c r="G259" s="6">
        <v>2.0000000000000001E-4</v>
      </c>
      <c r="H259" s="3">
        <v>1.9E-2</v>
      </c>
      <c r="I259" s="3">
        <v>1.1000000000000001E-2</v>
      </c>
      <c r="J259" s="3">
        <v>9.0000000000000011E-3</v>
      </c>
      <c r="K259" s="3">
        <v>3.0000000000000001E-3</v>
      </c>
      <c r="L259" s="3">
        <v>0.77800000000000002</v>
      </c>
      <c r="M259" s="3">
        <v>0</v>
      </c>
      <c r="N259" s="3">
        <v>0</v>
      </c>
      <c r="O259" s="4">
        <f t="shared" ref="O259:O322" si="4">IFERROR(F259/(E259/1000),"")</f>
        <v>0.17499999999999999</v>
      </c>
    </row>
    <row r="260" spans="1:15" x14ac:dyDescent="0.2">
      <c r="A260" t="s">
        <v>294</v>
      </c>
      <c r="B260" t="s">
        <v>295</v>
      </c>
      <c r="C260" t="s">
        <v>10</v>
      </c>
      <c r="D260" t="s">
        <v>302</v>
      </c>
      <c r="E260" s="1">
        <v>4000</v>
      </c>
      <c r="F260" s="2">
        <v>0</v>
      </c>
      <c r="G260" s="6">
        <v>1E-4</v>
      </c>
      <c r="H260" s="3">
        <v>0</v>
      </c>
      <c r="I260" s="3">
        <v>0</v>
      </c>
      <c r="J260" s="3">
        <v>0</v>
      </c>
      <c r="K260" s="3">
        <v>0</v>
      </c>
      <c r="L260" s="3">
        <v>0.88400000000000001</v>
      </c>
      <c r="M260" s="3">
        <v>0</v>
      </c>
      <c r="N260" s="3">
        <v>0</v>
      </c>
      <c r="O260" s="4">
        <f t="shared" si="4"/>
        <v>0</v>
      </c>
    </row>
    <row r="261" spans="1:15" x14ac:dyDescent="0.2">
      <c r="A261" t="s">
        <v>294</v>
      </c>
      <c r="B261" t="s">
        <v>295</v>
      </c>
      <c r="C261" t="s">
        <v>11</v>
      </c>
      <c r="D261" t="s">
        <v>303</v>
      </c>
      <c r="E261" s="1">
        <v>4100</v>
      </c>
      <c r="F261" s="2">
        <v>9.3000000000000007</v>
      </c>
      <c r="G261" s="6">
        <v>3.3500000000000002E-2</v>
      </c>
      <c r="H261" s="3">
        <v>0</v>
      </c>
      <c r="I261" s="3">
        <v>0</v>
      </c>
      <c r="J261" s="3">
        <v>0.19</v>
      </c>
      <c r="K261" s="3">
        <v>0.25</v>
      </c>
      <c r="L261" s="3">
        <v>0.56299999999999994</v>
      </c>
      <c r="M261" s="3">
        <v>0</v>
      </c>
      <c r="N261" s="3">
        <v>0</v>
      </c>
      <c r="O261" s="4">
        <f t="shared" si="4"/>
        <v>2.2682926829268295</v>
      </c>
    </row>
    <row r="262" spans="1:15" x14ac:dyDescent="0.2">
      <c r="A262" t="s">
        <v>294</v>
      </c>
      <c r="B262" t="s">
        <v>295</v>
      </c>
      <c r="C262" t="s">
        <v>11</v>
      </c>
      <c r="D262" t="s">
        <v>304</v>
      </c>
      <c r="E262" s="1">
        <v>4600</v>
      </c>
      <c r="F262" s="2">
        <v>8.6999999999999993</v>
      </c>
      <c r="G262" s="6">
        <v>4.6999999999999993E-3</v>
      </c>
      <c r="H262" s="3">
        <v>0</v>
      </c>
      <c r="I262" s="3">
        <v>0</v>
      </c>
      <c r="J262" s="3">
        <v>0.17800000000000002</v>
      </c>
      <c r="K262" s="3">
        <v>0.17600000000000002</v>
      </c>
      <c r="L262" s="3">
        <v>0.63</v>
      </c>
      <c r="M262" s="3">
        <v>0</v>
      </c>
      <c r="N262" s="3">
        <v>0</v>
      </c>
      <c r="O262" s="4">
        <f t="shared" si="4"/>
        <v>1.8913043478260869</v>
      </c>
    </row>
    <row r="263" spans="1:15" x14ac:dyDescent="0.2">
      <c r="A263" t="s">
        <v>294</v>
      </c>
      <c r="B263" t="s">
        <v>295</v>
      </c>
      <c r="C263" t="s">
        <v>11</v>
      </c>
      <c r="D263" t="s">
        <v>305</v>
      </c>
      <c r="E263" s="1">
        <v>4400</v>
      </c>
      <c r="F263" s="2">
        <v>7.3</v>
      </c>
      <c r="G263" s="6">
        <v>8.0000000000000002E-3</v>
      </c>
      <c r="H263" s="3">
        <v>0</v>
      </c>
      <c r="I263" s="3">
        <v>0</v>
      </c>
      <c r="J263" s="3">
        <v>0.153</v>
      </c>
      <c r="K263" s="3">
        <v>0.152</v>
      </c>
      <c r="L263" s="3">
        <v>0.63</v>
      </c>
      <c r="M263" s="3">
        <v>0</v>
      </c>
      <c r="N263" s="3">
        <v>0</v>
      </c>
      <c r="O263" s="4">
        <f t="shared" si="4"/>
        <v>1.6590909090909089</v>
      </c>
    </row>
    <row r="264" spans="1:15" x14ac:dyDescent="0.2">
      <c r="A264" t="s">
        <v>294</v>
      </c>
      <c r="B264" t="s">
        <v>295</v>
      </c>
      <c r="C264" t="s">
        <v>11</v>
      </c>
      <c r="D264" t="s">
        <v>306</v>
      </c>
      <c r="E264" s="1">
        <v>3000</v>
      </c>
      <c r="F264" s="2">
        <v>1.9</v>
      </c>
      <c r="G264" s="6">
        <v>2.0000000000000001E-4</v>
      </c>
      <c r="H264" s="3">
        <v>0</v>
      </c>
      <c r="I264" s="3">
        <v>0</v>
      </c>
      <c r="J264" s="3">
        <v>0.04</v>
      </c>
      <c r="K264" s="3">
        <v>1.9E-2</v>
      </c>
      <c r="L264" s="3">
        <v>0.67400000000000004</v>
      </c>
      <c r="M264" s="3">
        <v>0</v>
      </c>
      <c r="N264" s="3">
        <v>0</v>
      </c>
      <c r="O264" s="4">
        <f t="shared" si="4"/>
        <v>0.6333333333333333</v>
      </c>
    </row>
    <row r="265" spans="1:15" x14ac:dyDescent="0.2">
      <c r="A265" t="s">
        <v>294</v>
      </c>
      <c r="B265" t="s">
        <v>295</v>
      </c>
      <c r="C265" t="s">
        <v>11</v>
      </c>
      <c r="D265" t="s">
        <v>307</v>
      </c>
      <c r="E265" s="1">
        <v>3000</v>
      </c>
      <c r="F265" s="2">
        <v>0.8</v>
      </c>
      <c r="G265" s="6">
        <v>1E-4</v>
      </c>
      <c r="H265" s="3">
        <v>1.2E-2</v>
      </c>
      <c r="I265" s="3">
        <v>9.0000000000000011E-3</v>
      </c>
      <c r="J265" s="3">
        <v>1.3000000000000001E-2</v>
      </c>
      <c r="K265" s="3">
        <v>0.01</v>
      </c>
      <c r="L265" s="3">
        <v>0.70499999999999996</v>
      </c>
      <c r="M265" s="3">
        <v>0</v>
      </c>
      <c r="N265" s="3">
        <v>0</v>
      </c>
      <c r="O265" s="4">
        <f t="shared" si="4"/>
        <v>0.26666666666666666</v>
      </c>
    </row>
    <row r="266" spans="1:15" x14ac:dyDescent="0.2">
      <c r="A266" t="s">
        <v>294</v>
      </c>
      <c r="B266" t="s">
        <v>295</v>
      </c>
      <c r="C266" t="s">
        <v>11</v>
      </c>
      <c r="D266" t="s">
        <v>308</v>
      </c>
      <c r="E266" s="1">
        <v>3300</v>
      </c>
      <c r="F266" s="2">
        <v>0</v>
      </c>
      <c r="G266" s="6">
        <v>3.9000000000000003E-3</v>
      </c>
      <c r="H266" s="3">
        <v>0</v>
      </c>
      <c r="I266" s="3">
        <v>0</v>
      </c>
      <c r="J266" s="3">
        <v>0</v>
      </c>
      <c r="K266" s="3">
        <v>0</v>
      </c>
      <c r="L266" s="3">
        <v>0.45600000000000002</v>
      </c>
      <c r="M266" s="3">
        <v>0</v>
      </c>
      <c r="N266" s="3">
        <v>0</v>
      </c>
      <c r="O266" s="4">
        <f t="shared" si="4"/>
        <v>0</v>
      </c>
    </row>
    <row r="267" spans="1:15" x14ac:dyDescent="0.2">
      <c r="A267" t="s">
        <v>294</v>
      </c>
      <c r="B267" t="s">
        <v>295</v>
      </c>
      <c r="C267" t="s">
        <v>12</v>
      </c>
      <c r="D267" t="s">
        <v>309</v>
      </c>
      <c r="E267" s="1">
        <v>4200</v>
      </c>
      <c r="F267" s="2">
        <v>10.7</v>
      </c>
      <c r="G267" s="6">
        <v>5.0099999999999999E-2</v>
      </c>
      <c r="H267" s="3">
        <v>1.2E-2</v>
      </c>
      <c r="I267" s="3">
        <v>9.0000000000000011E-3</v>
      </c>
      <c r="J267" s="3">
        <v>0.20899999999999999</v>
      </c>
      <c r="K267" s="3">
        <v>0.25800000000000001</v>
      </c>
      <c r="L267" s="3">
        <v>0.67799999999999994</v>
      </c>
      <c r="M267" s="3">
        <v>0</v>
      </c>
      <c r="N267" s="3">
        <v>0</v>
      </c>
      <c r="O267" s="4">
        <f t="shared" si="4"/>
        <v>2.5476190476190474</v>
      </c>
    </row>
    <row r="268" spans="1:15" x14ac:dyDescent="0.2">
      <c r="A268" t="s">
        <v>294</v>
      </c>
      <c r="B268" t="s">
        <v>295</v>
      </c>
      <c r="C268" t="s">
        <v>12</v>
      </c>
      <c r="D268" t="s">
        <v>310</v>
      </c>
      <c r="E268" s="1">
        <v>2500</v>
      </c>
      <c r="F268" s="2">
        <v>2.1</v>
      </c>
      <c r="G268" s="6">
        <v>1E-4</v>
      </c>
      <c r="H268" s="3">
        <v>0</v>
      </c>
      <c r="I268" s="3">
        <v>0</v>
      </c>
      <c r="J268" s="3">
        <v>4.4000000000000004E-2</v>
      </c>
      <c r="K268" s="3">
        <v>0.04</v>
      </c>
      <c r="L268" s="3">
        <v>0.61799999999999999</v>
      </c>
      <c r="M268" s="3">
        <v>0</v>
      </c>
      <c r="N268" s="3">
        <v>0</v>
      </c>
      <c r="O268" s="4">
        <f t="shared" si="4"/>
        <v>0.84000000000000008</v>
      </c>
    </row>
    <row r="269" spans="1:15" x14ac:dyDescent="0.2">
      <c r="A269" t="s">
        <v>294</v>
      </c>
      <c r="B269" t="s">
        <v>295</v>
      </c>
      <c r="C269" t="s">
        <v>12</v>
      </c>
      <c r="D269" t="s">
        <v>311</v>
      </c>
      <c r="E269" s="1">
        <v>2500</v>
      </c>
      <c r="F269" s="2">
        <v>0.8</v>
      </c>
      <c r="G269" s="6">
        <v>0</v>
      </c>
      <c r="H269" s="3">
        <v>0</v>
      </c>
      <c r="I269" s="3">
        <v>0</v>
      </c>
      <c r="J269" s="3">
        <v>1.6E-2</v>
      </c>
      <c r="K269" s="3">
        <v>0.01</v>
      </c>
      <c r="L269" s="3">
        <v>0.72400000000000009</v>
      </c>
      <c r="M269" s="3">
        <v>0</v>
      </c>
      <c r="N269" s="3">
        <v>0</v>
      </c>
      <c r="O269" s="4">
        <f t="shared" si="4"/>
        <v>0.32</v>
      </c>
    </row>
    <row r="270" spans="1:15" x14ac:dyDescent="0.2">
      <c r="A270" t="s">
        <v>294</v>
      </c>
      <c r="B270" t="s">
        <v>295</v>
      </c>
      <c r="C270" t="s">
        <v>12</v>
      </c>
      <c r="D270" t="s">
        <v>312</v>
      </c>
      <c r="E270" s="1">
        <v>2500</v>
      </c>
      <c r="F270" s="2">
        <v>0</v>
      </c>
      <c r="G270" s="6">
        <v>2.0000000000000001E-4</v>
      </c>
      <c r="H270" s="3">
        <v>0</v>
      </c>
      <c r="I270" s="3">
        <v>0</v>
      </c>
      <c r="J270" s="3">
        <v>0</v>
      </c>
      <c r="K270" s="3">
        <v>0</v>
      </c>
      <c r="L270" s="3">
        <v>0</v>
      </c>
      <c r="M270" s="3">
        <v>0</v>
      </c>
      <c r="N270" s="3">
        <v>0</v>
      </c>
      <c r="O270" s="4">
        <f t="shared" si="4"/>
        <v>0</v>
      </c>
    </row>
    <row r="271" spans="1:15" x14ac:dyDescent="0.2">
      <c r="A271" t="s">
        <v>294</v>
      </c>
      <c r="B271" t="s">
        <v>295</v>
      </c>
      <c r="C271" t="s">
        <v>14</v>
      </c>
      <c r="D271" t="s">
        <v>313</v>
      </c>
      <c r="E271" s="1"/>
      <c r="F271" s="2"/>
      <c r="G271" s="6">
        <v>0</v>
      </c>
      <c r="H271" s="3"/>
      <c r="I271" s="3"/>
      <c r="J271" s="3"/>
      <c r="K271" s="3"/>
      <c r="L271" s="3"/>
      <c r="M271" s="3"/>
      <c r="N271" s="3"/>
      <c r="O271" s="4" t="str">
        <f t="shared" si="4"/>
        <v/>
      </c>
    </row>
    <row r="272" spans="1:15" x14ac:dyDescent="0.2">
      <c r="A272" t="s">
        <v>294</v>
      </c>
      <c r="B272" t="s">
        <v>295</v>
      </c>
      <c r="C272" t="s">
        <v>13</v>
      </c>
      <c r="D272" t="s">
        <v>295</v>
      </c>
      <c r="E272" s="1">
        <v>2100</v>
      </c>
      <c r="F272" s="2">
        <v>6.6</v>
      </c>
      <c r="G272" s="6">
        <v>3.2000000000000001E-2</v>
      </c>
      <c r="H272" s="3"/>
      <c r="I272" s="3"/>
      <c r="J272" s="3"/>
      <c r="K272" s="3"/>
      <c r="L272" s="3"/>
      <c r="M272" s="3"/>
      <c r="N272" s="3"/>
      <c r="O272" s="4">
        <f t="shared" si="4"/>
        <v>3.1428571428571423</v>
      </c>
    </row>
    <row r="273" spans="1:15" x14ac:dyDescent="0.2">
      <c r="A273" t="s">
        <v>314</v>
      </c>
      <c r="B273" t="s">
        <v>315</v>
      </c>
      <c r="C273" t="s">
        <v>9</v>
      </c>
      <c r="D273" t="s">
        <v>316</v>
      </c>
      <c r="E273" s="1">
        <v>5800</v>
      </c>
      <c r="F273" s="2">
        <v>17.5</v>
      </c>
      <c r="G273" s="6">
        <v>5.9699999999999996E-2</v>
      </c>
      <c r="H273" s="3">
        <v>0.17699999999999999</v>
      </c>
      <c r="I273" s="3">
        <v>0.31</v>
      </c>
      <c r="J273" s="3">
        <v>0</v>
      </c>
      <c r="K273" s="3">
        <v>0</v>
      </c>
      <c r="L273" s="3">
        <v>0</v>
      </c>
      <c r="M273" s="3">
        <v>1</v>
      </c>
      <c r="N273" s="3">
        <v>2.1000000000000001E-2</v>
      </c>
      <c r="O273" s="4">
        <f t="shared" si="4"/>
        <v>3.0172413793103448</v>
      </c>
    </row>
    <row r="274" spans="1:15" x14ac:dyDescent="0.2">
      <c r="A274" t="s">
        <v>314</v>
      </c>
      <c r="B274" t="s">
        <v>315</v>
      </c>
      <c r="C274" t="s">
        <v>9</v>
      </c>
      <c r="D274" t="s">
        <v>317</v>
      </c>
      <c r="E274" s="1">
        <v>4000</v>
      </c>
      <c r="F274" s="2">
        <v>0</v>
      </c>
      <c r="G274" s="6">
        <v>0</v>
      </c>
      <c r="H274" s="3">
        <v>0</v>
      </c>
      <c r="I274" s="3">
        <v>0</v>
      </c>
      <c r="J274" s="3">
        <v>0</v>
      </c>
      <c r="K274" s="3">
        <v>0</v>
      </c>
      <c r="L274" s="3">
        <v>0</v>
      </c>
      <c r="M274" s="3">
        <v>0</v>
      </c>
      <c r="N274" s="3">
        <v>0</v>
      </c>
      <c r="O274" s="4">
        <f t="shared" si="4"/>
        <v>0</v>
      </c>
    </row>
    <row r="275" spans="1:15" x14ac:dyDescent="0.2">
      <c r="A275" t="s">
        <v>314</v>
      </c>
      <c r="B275" t="s">
        <v>315</v>
      </c>
      <c r="C275" t="s">
        <v>10</v>
      </c>
      <c r="D275" t="s">
        <v>318</v>
      </c>
      <c r="E275" s="1">
        <v>5100</v>
      </c>
      <c r="F275" s="2">
        <v>7.9</v>
      </c>
      <c r="G275" s="6">
        <v>1.1399999999999999E-2</v>
      </c>
      <c r="H275" s="3">
        <v>0.42599999999999999</v>
      </c>
      <c r="I275" s="3">
        <v>0.35600000000000004</v>
      </c>
      <c r="J275" s="3">
        <v>9.0000000000000011E-3</v>
      </c>
      <c r="K275" s="3">
        <v>8.0000000000000002E-3</v>
      </c>
      <c r="L275" s="3">
        <v>0.79099999999999993</v>
      </c>
      <c r="M275" s="3">
        <v>0</v>
      </c>
      <c r="N275" s="3">
        <v>0</v>
      </c>
      <c r="O275" s="4">
        <f t="shared" si="4"/>
        <v>1.5490196078431375</v>
      </c>
    </row>
    <row r="276" spans="1:15" x14ac:dyDescent="0.2">
      <c r="A276" t="s">
        <v>314</v>
      </c>
      <c r="B276" t="s">
        <v>315</v>
      </c>
      <c r="C276" t="s">
        <v>10</v>
      </c>
      <c r="D276" t="s">
        <v>319</v>
      </c>
      <c r="E276" s="1">
        <v>5800</v>
      </c>
      <c r="F276" s="2">
        <v>9.4</v>
      </c>
      <c r="G276" s="6">
        <v>1.6899999999999998E-2</v>
      </c>
      <c r="H276" s="3">
        <v>0.34</v>
      </c>
      <c r="I276" s="3">
        <v>0.29100000000000004</v>
      </c>
      <c r="J276" s="3">
        <v>0.08</v>
      </c>
      <c r="K276" s="3">
        <v>0.124</v>
      </c>
      <c r="L276" s="3">
        <v>0.748</v>
      </c>
      <c r="M276" s="3">
        <v>0</v>
      </c>
      <c r="N276" s="3">
        <v>0</v>
      </c>
      <c r="O276" s="4">
        <f t="shared" si="4"/>
        <v>1.6206896551724139</v>
      </c>
    </row>
    <row r="277" spans="1:15" x14ac:dyDescent="0.2">
      <c r="A277" t="s">
        <v>314</v>
      </c>
      <c r="B277" t="s">
        <v>315</v>
      </c>
      <c r="C277" t="s">
        <v>10</v>
      </c>
      <c r="D277" t="s">
        <v>320</v>
      </c>
      <c r="E277" s="1">
        <v>4300</v>
      </c>
      <c r="F277" s="2">
        <v>1.4</v>
      </c>
      <c r="G277" s="6">
        <v>5.9999999999999995E-4</v>
      </c>
      <c r="H277" s="3">
        <v>2.8999999999999998E-2</v>
      </c>
      <c r="I277" s="3">
        <v>1.9E-2</v>
      </c>
      <c r="J277" s="3">
        <v>2.1000000000000001E-2</v>
      </c>
      <c r="K277" s="3">
        <v>1.4999999999999999E-2</v>
      </c>
      <c r="L277" s="3">
        <v>0.84499999999999997</v>
      </c>
      <c r="M277" s="3">
        <v>0</v>
      </c>
      <c r="N277" s="3">
        <v>0</v>
      </c>
      <c r="O277" s="4">
        <f t="shared" si="4"/>
        <v>0.32558139534883718</v>
      </c>
    </row>
    <row r="278" spans="1:15" x14ac:dyDescent="0.2">
      <c r="A278" t="s">
        <v>314</v>
      </c>
      <c r="B278" t="s">
        <v>315</v>
      </c>
      <c r="C278" t="s">
        <v>10</v>
      </c>
      <c r="D278" t="s">
        <v>321</v>
      </c>
      <c r="E278" s="1">
        <v>4000</v>
      </c>
      <c r="F278" s="2">
        <v>0.4</v>
      </c>
      <c r="G278" s="6">
        <v>4.0000000000000002E-4</v>
      </c>
      <c r="H278" s="3">
        <v>0</v>
      </c>
      <c r="I278" s="3">
        <v>0</v>
      </c>
      <c r="J278" s="3">
        <v>9.0000000000000011E-3</v>
      </c>
      <c r="K278" s="3">
        <v>8.0000000000000002E-3</v>
      </c>
      <c r="L278" s="3">
        <v>0.86099999999999999</v>
      </c>
      <c r="M278" s="3">
        <v>0</v>
      </c>
      <c r="N278" s="3">
        <v>0</v>
      </c>
      <c r="O278" s="4">
        <f t="shared" si="4"/>
        <v>0.1</v>
      </c>
    </row>
    <row r="279" spans="1:15" x14ac:dyDescent="0.2">
      <c r="A279" t="s">
        <v>314</v>
      </c>
      <c r="B279" t="s">
        <v>315</v>
      </c>
      <c r="C279" t="s">
        <v>11</v>
      </c>
      <c r="D279" t="s">
        <v>322</v>
      </c>
      <c r="E279" s="1">
        <v>5600</v>
      </c>
      <c r="F279" s="2">
        <v>11.7</v>
      </c>
      <c r="G279" s="6">
        <v>6.1900000000000004E-2</v>
      </c>
      <c r="H279" s="3">
        <v>1.9E-2</v>
      </c>
      <c r="I279" s="3">
        <v>1.3999999999999999E-2</v>
      </c>
      <c r="J279" s="3">
        <v>0.23</v>
      </c>
      <c r="K279" s="3">
        <v>0.217</v>
      </c>
      <c r="L279" s="3">
        <v>0.61799999999999999</v>
      </c>
      <c r="M279" s="3">
        <v>0</v>
      </c>
      <c r="N279" s="3">
        <v>0</v>
      </c>
      <c r="O279" s="4">
        <f t="shared" si="4"/>
        <v>2.0892857142857144</v>
      </c>
    </row>
    <row r="280" spans="1:15" x14ac:dyDescent="0.2">
      <c r="A280" t="s">
        <v>314</v>
      </c>
      <c r="B280" t="s">
        <v>315</v>
      </c>
      <c r="C280" t="s">
        <v>11</v>
      </c>
      <c r="D280" t="s">
        <v>323</v>
      </c>
      <c r="E280" s="1">
        <v>5000</v>
      </c>
      <c r="F280" s="2">
        <v>10.3</v>
      </c>
      <c r="G280" s="6">
        <v>6.7099999999999993E-2</v>
      </c>
      <c r="H280" s="3">
        <v>5.0000000000000001E-3</v>
      </c>
      <c r="I280" s="3">
        <v>5.0000000000000001E-3</v>
      </c>
      <c r="J280" s="3">
        <v>0.20399999999999999</v>
      </c>
      <c r="K280" s="3">
        <v>0.17800000000000002</v>
      </c>
      <c r="L280" s="3">
        <v>0.67500000000000004</v>
      </c>
      <c r="M280" s="3">
        <v>0</v>
      </c>
      <c r="N280" s="3">
        <v>0</v>
      </c>
      <c r="O280" s="4">
        <f t="shared" si="4"/>
        <v>2.06</v>
      </c>
    </row>
    <row r="281" spans="1:15" x14ac:dyDescent="0.2">
      <c r="A281" t="s">
        <v>314</v>
      </c>
      <c r="B281" t="s">
        <v>315</v>
      </c>
      <c r="C281" t="s">
        <v>11</v>
      </c>
      <c r="D281" t="s">
        <v>324</v>
      </c>
      <c r="E281" s="1">
        <v>5500</v>
      </c>
      <c r="F281" s="2">
        <v>9.1</v>
      </c>
      <c r="G281" s="6">
        <v>8.2200000000000009E-2</v>
      </c>
      <c r="H281" s="3">
        <v>5.0000000000000001E-3</v>
      </c>
      <c r="I281" s="3">
        <v>5.0000000000000001E-3</v>
      </c>
      <c r="J281" s="3">
        <v>0.17100000000000001</v>
      </c>
      <c r="K281" s="3">
        <v>0.21600000000000003</v>
      </c>
      <c r="L281" s="3">
        <v>0.60399999999999998</v>
      </c>
      <c r="M281" s="3">
        <v>0</v>
      </c>
      <c r="N281" s="3">
        <v>0</v>
      </c>
      <c r="O281" s="4">
        <f t="shared" si="4"/>
        <v>1.6545454545454545</v>
      </c>
    </row>
    <row r="282" spans="1:15" x14ac:dyDescent="0.2">
      <c r="A282" t="s">
        <v>314</v>
      </c>
      <c r="B282" t="s">
        <v>315</v>
      </c>
      <c r="C282" t="s">
        <v>11</v>
      </c>
      <c r="D282" t="s">
        <v>325</v>
      </c>
      <c r="E282" s="1">
        <v>3400</v>
      </c>
      <c r="F282" s="2">
        <v>2.2000000000000002</v>
      </c>
      <c r="G282" s="6">
        <v>6.8999999999999999E-3</v>
      </c>
      <c r="H282" s="3">
        <v>0</v>
      </c>
      <c r="I282" s="3">
        <v>0</v>
      </c>
      <c r="J282" s="3">
        <v>4.4000000000000004E-2</v>
      </c>
      <c r="K282" s="3">
        <v>4.4999999999999998E-2</v>
      </c>
      <c r="L282" s="3">
        <v>0.624</v>
      </c>
      <c r="M282" s="3">
        <v>0</v>
      </c>
      <c r="N282" s="3">
        <v>0</v>
      </c>
      <c r="O282" s="4">
        <f t="shared" si="4"/>
        <v>0.6470588235294118</v>
      </c>
    </row>
    <row r="283" spans="1:15" x14ac:dyDescent="0.2">
      <c r="A283" t="s">
        <v>314</v>
      </c>
      <c r="B283" t="s">
        <v>315</v>
      </c>
      <c r="C283" t="s">
        <v>11</v>
      </c>
      <c r="D283" t="s">
        <v>326</v>
      </c>
      <c r="E283" s="1">
        <v>3000</v>
      </c>
      <c r="F283" s="2">
        <v>0.2</v>
      </c>
      <c r="G283" s="6">
        <v>8.9999999999999998E-4</v>
      </c>
      <c r="H283" s="3">
        <v>0</v>
      </c>
      <c r="I283" s="3">
        <v>0</v>
      </c>
      <c r="J283" s="3">
        <v>3.0000000000000001E-3</v>
      </c>
      <c r="K283" s="3">
        <v>8.0000000000000002E-3</v>
      </c>
      <c r="L283" s="3">
        <v>0.63</v>
      </c>
      <c r="M283" s="3">
        <v>0</v>
      </c>
      <c r="N283" s="3">
        <v>0</v>
      </c>
      <c r="O283" s="4">
        <f t="shared" si="4"/>
        <v>6.6666666666666666E-2</v>
      </c>
    </row>
    <row r="284" spans="1:15" x14ac:dyDescent="0.2">
      <c r="A284" t="s">
        <v>314</v>
      </c>
      <c r="B284" t="s">
        <v>315</v>
      </c>
      <c r="C284" t="s">
        <v>11</v>
      </c>
      <c r="D284" t="s">
        <v>327</v>
      </c>
      <c r="E284" s="1">
        <v>3000</v>
      </c>
      <c r="F284" s="2">
        <v>0</v>
      </c>
      <c r="G284" s="6">
        <v>5.0000000000000001E-4</v>
      </c>
      <c r="H284" s="3">
        <v>0</v>
      </c>
      <c r="I284" s="3">
        <v>0</v>
      </c>
      <c r="J284" s="3">
        <v>0</v>
      </c>
      <c r="K284" s="3">
        <v>0</v>
      </c>
      <c r="L284" s="3">
        <v>0.63</v>
      </c>
      <c r="M284" s="3">
        <v>0</v>
      </c>
      <c r="N284" s="3">
        <v>0</v>
      </c>
      <c r="O284" s="4">
        <f t="shared" si="4"/>
        <v>0</v>
      </c>
    </row>
    <row r="285" spans="1:15" x14ac:dyDescent="0.2">
      <c r="A285" t="s">
        <v>314</v>
      </c>
      <c r="B285" t="s">
        <v>315</v>
      </c>
      <c r="C285" t="s">
        <v>12</v>
      </c>
      <c r="D285" t="s">
        <v>328</v>
      </c>
      <c r="E285" s="1">
        <v>3600</v>
      </c>
      <c r="F285" s="2">
        <v>8.1</v>
      </c>
      <c r="G285" s="6">
        <v>3.7900000000000003E-2</v>
      </c>
      <c r="H285" s="3">
        <v>0</v>
      </c>
      <c r="I285" s="3">
        <v>0</v>
      </c>
      <c r="J285" s="3">
        <v>0.16500000000000001</v>
      </c>
      <c r="K285" s="3">
        <v>0.14800000000000002</v>
      </c>
      <c r="L285" s="3">
        <v>0.75800000000000001</v>
      </c>
      <c r="M285" s="3">
        <v>0</v>
      </c>
      <c r="N285" s="3">
        <v>0</v>
      </c>
      <c r="O285" s="4">
        <f t="shared" si="4"/>
        <v>2.25</v>
      </c>
    </row>
    <row r="286" spans="1:15" x14ac:dyDescent="0.2">
      <c r="A286" t="s">
        <v>314</v>
      </c>
      <c r="B286" t="s">
        <v>315</v>
      </c>
      <c r="C286" t="s">
        <v>12</v>
      </c>
      <c r="D286" t="s">
        <v>329</v>
      </c>
      <c r="E286" s="1">
        <v>2600</v>
      </c>
      <c r="F286" s="2">
        <v>1.8</v>
      </c>
      <c r="G286" s="6">
        <v>1E-4</v>
      </c>
      <c r="H286" s="3">
        <v>0</v>
      </c>
      <c r="I286" s="3">
        <v>0</v>
      </c>
      <c r="J286" s="3">
        <v>3.7999999999999999E-2</v>
      </c>
      <c r="K286" s="3">
        <v>2.8999999999999998E-2</v>
      </c>
      <c r="L286" s="3">
        <v>0.72400000000000009</v>
      </c>
      <c r="M286" s="3">
        <v>0</v>
      </c>
      <c r="N286" s="3">
        <v>0</v>
      </c>
      <c r="O286" s="4">
        <f t="shared" si="4"/>
        <v>0.69230769230769229</v>
      </c>
    </row>
    <row r="287" spans="1:15" x14ac:dyDescent="0.2">
      <c r="A287" t="s">
        <v>314</v>
      </c>
      <c r="B287" t="s">
        <v>315</v>
      </c>
      <c r="C287" t="s">
        <v>12</v>
      </c>
      <c r="D287" t="s">
        <v>330</v>
      </c>
      <c r="E287" s="1">
        <v>2600</v>
      </c>
      <c r="F287" s="2">
        <v>1.2</v>
      </c>
      <c r="G287" s="6">
        <v>1E-4</v>
      </c>
      <c r="H287" s="3">
        <v>0</v>
      </c>
      <c r="I287" s="3">
        <v>0</v>
      </c>
      <c r="J287" s="3">
        <v>2.6000000000000002E-2</v>
      </c>
      <c r="K287" s="3">
        <v>5.0000000000000001E-3</v>
      </c>
      <c r="L287" s="3">
        <v>0.72400000000000009</v>
      </c>
      <c r="M287" s="3">
        <v>0</v>
      </c>
      <c r="N287" s="3">
        <v>0</v>
      </c>
      <c r="O287" s="4">
        <f t="shared" si="4"/>
        <v>0.46153846153846151</v>
      </c>
    </row>
    <row r="288" spans="1:15" x14ac:dyDescent="0.2">
      <c r="A288" t="s">
        <v>314</v>
      </c>
      <c r="B288" t="s">
        <v>315</v>
      </c>
      <c r="C288" t="s">
        <v>12</v>
      </c>
      <c r="D288" t="s">
        <v>331</v>
      </c>
      <c r="E288" s="1">
        <v>2500</v>
      </c>
      <c r="F288" s="2">
        <v>0</v>
      </c>
      <c r="G288" s="6">
        <v>1E-4</v>
      </c>
      <c r="H288" s="3">
        <v>0</v>
      </c>
      <c r="I288" s="3">
        <v>0</v>
      </c>
      <c r="J288" s="3">
        <v>0</v>
      </c>
      <c r="K288" s="3">
        <v>0</v>
      </c>
      <c r="L288" s="3">
        <v>0.67900000000000005</v>
      </c>
      <c r="M288" s="3">
        <v>0</v>
      </c>
      <c r="N288" s="3">
        <v>0</v>
      </c>
      <c r="O288" s="4">
        <f t="shared" si="4"/>
        <v>0</v>
      </c>
    </row>
    <row r="289" spans="1:15" x14ac:dyDescent="0.2">
      <c r="A289" t="s">
        <v>314</v>
      </c>
      <c r="B289" t="s">
        <v>315</v>
      </c>
      <c r="C289" t="s">
        <v>14</v>
      </c>
      <c r="D289" t="s">
        <v>332</v>
      </c>
      <c r="E289" s="1"/>
      <c r="F289" s="2"/>
      <c r="G289" s="6">
        <v>0</v>
      </c>
      <c r="H289" s="3"/>
      <c r="I289" s="3"/>
      <c r="J289" s="3"/>
      <c r="K289" s="3"/>
      <c r="L289" s="3"/>
      <c r="M289" s="3"/>
      <c r="N289" s="3"/>
      <c r="O289" s="4" t="str">
        <f t="shared" si="4"/>
        <v/>
      </c>
    </row>
    <row r="290" spans="1:15" x14ac:dyDescent="0.2">
      <c r="A290" t="s">
        <v>314</v>
      </c>
      <c r="B290" t="s">
        <v>315</v>
      </c>
      <c r="C290" t="s">
        <v>13</v>
      </c>
      <c r="D290" t="s">
        <v>315</v>
      </c>
      <c r="E290" s="1">
        <v>3400</v>
      </c>
      <c r="F290" s="2">
        <v>8.1999999999999993</v>
      </c>
      <c r="G290" s="6">
        <v>0.1168</v>
      </c>
      <c r="H290" s="3"/>
      <c r="I290" s="3"/>
      <c r="J290" s="3"/>
      <c r="K290" s="3"/>
      <c r="L290" s="3"/>
      <c r="M290" s="3"/>
      <c r="N290" s="3"/>
      <c r="O290" s="4">
        <f t="shared" si="4"/>
        <v>2.4117647058823528</v>
      </c>
    </row>
    <row r="291" spans="1:15" x14ac:dyDescent="0.2">
      <c r="A291" t="s">
        <v>333</v>
      </c>
      <c r="B291" t="s">
        <v>334</v>
      </c>
      <c r="C291" t="s">
        <v>9</v>
      </c>
      <c r="D291" t="s">
        <v>335</v>
      </c>
      <c r="E291" s="1">
        <v>6800</v>
      </c>
      <c r="F291" s="2">
        <v>17.100000000000001</v>
      </c>
      <c r="G291" s="6">
        <v>5.1299999999999998E-2</v>
      </c>
      <c r="H291" s="3">
        <v>0.18600000000000003</v>
      </c>
      <c r="I291" s="3">
        <v>0.16399999999999998</v>
      </c>
      <c r="J291" s="3">
        <v>0</v>
      </c>
      <c r="K291" s="3">
        <v>0</v>
      </c>
      <c r="L291" s="3">
        <v>0</v>
      </c>
      <c r="M291" s="3">
        <v>1</v>
      </c>
      <c r="N291" s="3">
        <v>1.7000000000000001E-2</v>
      </c>
      <c r="O291" s="4">
        <f t="shared" si="4"/>
        <v>2.5147058823529416</v>
      </c>
    </row>
    <row r="292" spans="1:15" x14ac:dyDescent="0.2">
      <c r="A292" t="s">
        <v>333</v>
      </c>
      <c r="B292" t="s">
        <v>334</v>
      </c>
      <c r="C292" t="s">
        <v>9</v>
      </c>
      <c r="D292" t="s">
        <v>336</v>
      </c>
      <c r="E292" s="1">
        <v>4300</v>
      </c>
      <c r="F292" s="2">
        <v>0</v>
      </c>
      <c r="G292" s="6">
        <v>0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4">
        <f t="shared" si="4"/>
        <v>0</v>
      </c>
    </row>
    <row r="293" spans="1:15" x14ac:dyDescent="0.2">
      <c r="A293" t="s">
        <v>333</v>
      </c>
      <c r="B293" t="s">
        <v>334</v>
      </c>
      <c r="C293" t="s">
        <v>9</v>
      </c>
      <c r="D293" t="s">
        <v>337</v>
      </c>
      <c r="E293" s="1">
        <v>4000</v>
      </c>
      <c r="F293" s="2">
        <v>0</v>
      </c>
      <c r="G293" s="6">
        <v>0</v>
      </c>
      <c r="H293" s="3">
        <v>0</v>
      </c>
      <c r="I293" s="3">
        <v>0</v>
      </c>
      <c r="J293" s="3">
        <v>0</v>
      </c>
      <c r="K293" s="3">
        <v>0</v>
      </c>
      <c r="L293" s="3">
        <v>0</v>
      </c>
      <c r="M293" s="3">
        <v>0</v>
      </c>
      <c r="N293" s="3">
        <v>0</v>
      </c>
      <c r="O293" s="4">
        <f t="shared" si="4"/>
        <v>0</v>
      </c>
    </row>
    <row r="294" spans="1:15" x14ac:dyDescent="0.2">
      <c r="A294" t="s">
        <v>333</v>
      </c>
      <c r="B294" t="s">
        <v>334</v>
      </c>
      <c r="C294" t="s">
        <v>10</v>
      </c>
      <c r="D294" t="s">
        <v>338</v>
      </c>
      <c r="E294" s="1">
        <v>6700</v>
      </c>
      <c r="F294" s="2">
        <v>14.6</v>
      </c>
      <c r="G294" s="6">
        <v>0.15689999999999998</v>
      </c>
      <c r="H294" s="3">
        <v>0.6</v>
      </c>
      <c r="I294" s="3">
        <v>0.67299999999999993</v>
      </c>
      <c r="J294" s="3">
        <v>5.7999999999999996E-2</v>
      </c>
      <c r="K294" s="3">
        <v>2.7999999999999997E-2</v>
      </c>
      <c r="L294" s="3">
        <v>0.79</v>
      </c>
      <c r="M294" s="3">
        <v>0</v>
      </c>
      <c r="N294" s="3">
        <v>0</v>
      </c>
      <c r="O294" s="4">
        <f t="shared" si="4"/>
        <v>2.1791044776119404</v>
      </c>
    </row>
    <row r="295" spans="1:15" x14ac:dyDescent="0.2">
      <c r="A295" t="s">
        <v>333</v>
      </c>
      <c r="B295" t="s">
        <v>334</v>
      </c>
      <c r="C295" t="s">
        <v>10</v>
      </c>
      <c r="D295" t="s">
        <v>339</v>
      </c>
      <c r="E295" s="1">
        <v>4200</v>
      </c>
      <c r="F295" s="2">
        <v>7.4</v>
      </c>
      <c r="G295" s="6">
        <v>3.3E-3</v>
      </c>
      <c r="H295" s="3">
        <v>0.17499999999999999</v>
      </c>
      <c r="I295" s="3">
        <v>0.13400000000000001</v>
      </c>
      <c r="J295" s="3">
        <v>0.105</v>
      </c>
      <c r="K295" s="3">
        <v>5.0999999999999997E-2</v>
      </c>
      <c r="L295" s="3">
        <v>0.80500000000000005</v>
      </c>
      <c r="M295" s="3">
        <v>0</v>
      </c>
      <c r="N295" s="3">
        <v>0</v>
      </c>
      <c r="O295" s="4">
        <f t="shared" si="4"/>
        <v>1.7619047619047619</v>
      </c>
    </row>
    <row r="296" spans="1:15" x14ac:dyDescent="0.2">
      <c r="A296" t="s">
        <v>333</v>
      </c>
      <c r="B296" t="s">
        <v>334</v>
      </c>
      <c r="C296" t="s">
        <v>10</v>
      </c>
      <c r="D296" t="s">
        <v>340</v>
      </c>
      <c r="E296" s="1">
        <v>4200</v>
      </c>
      <c r="F296" s="2">
        <v>0.8</v>
      </c>
      <c r="G296" s="6">
        <v>4.0000000000000002E-4</v>
      </c>
      <c r="H296" s="3">
        <v>1.9E-2</v>
      </c>
      <c r="I296" s="3">
        <v>1.3999999999999999E-2</v>
      </c>
      <c r="J296" s="3">
        <v>1.2E-2</v>
      </c>
      <c r="K296" s="3">
        <v>4.0000000000000001E-3</v>
      </c>
      <c r="L296" s="3">
        <v>0.73799999999999999</v>
      </c>
      <c r="M296" s="3">
        <v>0</v>
      </c>
      <c r="N296" s="3">
        <v>0</v>
      </c>
      <c r="O296" s="4">
        <f t="shared" si="4"/>
        <v>0.19047619047619047</v>
      </c>
    </row>
    <row r="297" spans="1:15" x14ac:dyDescent="0.2">
      <c r="A297" t="s">
        <v>333</v>
      </c>
      <c r="B297" t="s">
        <v>334</v>
      </c>
      <c r="C297" t="s">
        <v>11</v>
      </c>
      <c r="D297" t="s">
        <v>341</v>
      </c>
      <c r="E297" s="1">
        <v>6400</v>
      </c>
      <c r="F297" s="2">
        <v>14.6</v>
      </c>
      <c r="G297" s="6">
        <v>0.12809999999999999</v>
      </c>
      <c r="H297" s="3">
        <v>0.01</v>
      </c>
      <c r="I297" s="3">
        <v>8.0000000000000002E-3</v>
      </c>
      <c r="J297" s="3">
        <v>0.27600000000000002</v>
      </c>
      <c r="K297" s="3">
        <v>0.29299999999999998</v>
      </c>
      <c r="L297" s="3">
        <v>0.68099999999999994</v>
      </c>
      <c r="M297" s="3">
        <v>0</v>
      </c>
      <c r="N297" s="3">
        <v>0</v>
      </c>
      <c r="O297" s="4">
        <f t="shared" si="4"/>
        <v>2.28125</v>
      </c>
    </row>
    <row r="298" spans="1:15" x14ac:dyDescent="0.2">
      <c r="A298" t="s">
        <v>333</v>
      </c>
      <c r="B298" t="s">
        <v>334</v>
      </c>
      <c r="C298" t="s">
        <v>11</v>
      </c>
      <c r="D298" t="s">
        <v>342</v>
      </c>
      <c r="E298" s="1">
        <v>3900</v>
      </c>
      <c r="F298" s="2">
        <v>6.4</v>
      </c>
      <c r="G298" s="6">
        <v>1.9199999999999998E-2</v>
      </c>
      <c r="H298" s="3">
        <v>0</v>
      </c>
      <c r="I298" s="3">
        <v>0</v>
      </c>
      <c r="J298" s="3">
        <v>0.128</v>
      </c>
      <c r="K298" s="3">
        <v>0.16200000000000001</v>
      </c>
      <c r="L298" s="3">
        <v>0.58700000000000008</v>
      </c>
      <c r="M298" s="3">
        <v>0</v>
      </c>
      <c r="N298" s="3">
        <v>0</v>
      </c>
      <c r="O298" s="4">
        <f t="shared" si="4"/>
        <v>1.6410256410256412</v>
      </c>
    </row>
    <row r="299" spans="1:15" x14ac:dyDescent="0.2">
      <c r="A299" t="s">
        <v>333</v>
      </c>
      <c r="B299" t="s">
        <v>334</v>
      </c>
      <c r="C299" t="s">
        <v>11</v>
      </c>
      <c r="D299" t="s">
        <v>343</v>
      </c>
      <c r="E299" s="1">
        <v>3100</v>
      </c>
      <c r="F299" s="2">
        <v>5.0999999999999996</v>
      </c>
      <c r="G299" s="6">
        <v>5.0000000000000001E-3</v>
      </c>
      <c r="H299" s="3">
        <v>0</v>
      </c>
      <c r="I299" s="3">
        <v>0</v>
      </c>
      <c r="J299" s="3">
        <v>0.10099999999999999</v>
      </c>
      <c r="K299" s="3">
        <v>0.115</v>
      </c>
      <c r="L299" s="3">
        <v>0.63</v>
      </c>
      <c r="M299" s="3">
        <v>0</v>
      </c>
      <c r="N299" s="3">
        <v>0</v>
      </c>
      <c r="O299" s="4">
        <f t="shared" si="4"/>
        <v>1.6451612903225805</v>
      </c>
    </row>
    <row r="300" spans="1:15" x14ac:dyDescent="0.2">
      <c r="A300" t="s">
        <v>333</v>
      </c>
      <c r="B300" t="s">
        <v>334</v>
      </c>
      <c r="C300" t="s">
        <v>11</v>
      </c>
      <c r="D300" t="s">
        <v>344</v>
      </c>
      <c r="E300" s="1">
        <v>3200</v>
      </c>
      <c r="F300" s="2">
        <v>1.5</v>
      </c>
      <c r="G300" s="6">
        <v>1E-3</v>
      </c>
      <c r="H300" s="3">
        <v>0</v>
      </c>
      <c r="I300" s="3">
        <v>0</v>
      </c>
      <c r="J300" s="3">
        <v>3.1E-2</v>
      </c>
      <c r="K300" s="3">
        <v>3.5000000000000003E-2</v>
      </c>
      <c r="L300" s="3">
        <v>0.63300000000000001</v>
      </c>
      <c r="M300" s="3">
        <v>0</v>
      </c>
      <c r="N300" s="3">
        <v>0</v>
      </c>
      <c r="O300" s="4">
        <f t="shared" si="4"/>
        <v>0.46875</v>
      </c>
    </row>
    <row r="301" spans="1:15" x14ac:dyDescent="0.2">
      <c r="A301" t="s">
        <v>333</v>
      </c>
      <c r="B301" t="s">
        <v>334</v>
      </c>
      <c r="C301" t="s">
        <v>11</v>
      </c>
      <c r="D301" t="s">
        <v>345</v>
      </c>
      <c r="E301" s="1">
        <v>3400</v>
      </c>
      <c r="F301" s="2">
        <v>0.5</v>
      </c>
      <c r="G301" s="6">
        <v>6.4000000000000003E-3</v>
      </c>
      <c r="H301" s="3">
        <v>0</v>
      </c>
      <c r="I301" s="3">
        <v>0</v>
      </c>
      <c r="J301" s="3">
        <v>1.2E-2</v>
      </c>
      <c r="K301" s="3">
        <v>0</v>
      </c>
      <c r="L301" s="3">
        <v>0.63</v>
      </c>
      <c r="M301" s="3">
        <v>0</v>
      </c>
      <c r="N301" s="3">
        <v>0</v>
      </c>
      <c r="O301" s="4">
        <f t="shared" si="4"/>
        <v>0.14705882352941177</v>
      </c>
    </row>
    <row r="302" spans="1:15" x14ac:dyDescent="0.2">
      <c r="A302" t="s">
        <v>333</v>
      </c>
      <c r="B302" t="s">
        <v>334</v>
      </c>
      <c r="C302" t="s">
        <v>11</v>
      </c>
      <c r="D302" t="s">
        <v>346</v>
      </c>
      <c r="E302" s="1">
        <v>3000</v>
      </c>
      <c r="F302" s="2">
        <v>0</v>
      </c>
      <c r="G302" s="6">
        <v>1E-4</v>
      </c>
      <c r="H302" s="3">
        <v>0</v>
      </c>
      <c r="I302" s="3">
        <v>0</v>
      </c>
      <c r="J302" s="3">
        <v>0</v>
      </c>
      <c r="K302" s="3">
        <v>0</v>
      </c>
      <c r="L302" s="3">
        <v>0.63</v>
      </c>
      <c r="M302" s="3">
        <v>0</v>
      </c>
      <c r="N302" s="3">
        <v>0</v>
      </c>
      <c r="O302" s="4">
        <f t="shared" si="4"/>
        <v>0</v>
      </c>
    </row>
    <row r="303" spans="1:15" x14ac:dyDescent="0.2">
      <c r="A303" t="s">
        <v>333</v>
      </c>
      <c r="B303" t="s">
        <v>334</v>
      </c>
      <c r="C303" t="s">
        <v>12</v>
      </c>
      <c r="D303" t="s">
        <v>347</v>
      </c>
      <c r="E303" s="1">
        <v>3900</v>
      </c>
      <c r="F303" s="2">
        <v>9.6</v>
      </c>
      <c r="G303" s="6">
        <v>8.0500000000000002E-2</v>
      </c>
      <c r="H303" s="3">
        <v>0.01</v>
      </c>
      <c r="I303" s="3">
        <v>8.0000000000000002E-3</v>
      </c>
      <c r="J303" s="3">
        <v>0.187</v>
      </c>
      <c r="K303" s="3">
        <v>0.23</v>
      </c>
      <c r="L303" s="3">
        <v>0.74</v>
      </c>
      <c r="M303" s="3">
        <v>0</v>
      </c>
      <c r="N303" s="3">
        <v>0</v>
      </c>
      <c r="O303" s="4">
        <f t="shared" si="4"/>
        <v>2.4615384615384617</v>
      </c>
    </row>
    <row r="304" spans="1:15" x14ac:dyDescent="0.2">
      <c r="A304" t="s">
        <v>333</v>
      </c>
      <c r="B304" t="s">
        <v>334</v>
      </c>
      <c r="C304" t="s">
        <v>12</v>
      </c>
      <c r="D304" t="s">
        <v>348</v>
      </c>
      <c r="E304" s="1">
        <v>2500</v>
      </c>
      <c r="F304" s="2">
        <v>3.8</v>
      </c>
      <c r="G304" s="6">
        <v>0</v>
      </c>
      <c r="H304" s="3">
        <v>0</v>
      </c>
      <c r="I304" s="3">
        <v>0</v>
      </c>
      <c r="J304" s="3">
        <v>7.8E-2</v>
      </c>
      <c r="K304" s="3">
        <v>8.1000000000000003E-2</v>
      </c>
      <c r="L304" s="3">
        <v>0.62</v>
      </c>
      <c r="M304" s="3">
        <v>0</v>
      </c>
      <c r="N304" s="3">
        <v>0</v>
      </c>
      <c r="O304" s="4">
        <f t="shared" si="4"/>
        <v>1.52</v>
      </c>
    </row>
    <row r="305" spans="1:15" x14ac:dyDescent="0.2">
      <c r="A305" t="s">
        <v>333</v>
      </c>
      <c r="B305" t="s">
        <v>334</v>
      </c>
      <c r="C305" t="s">
        <v>12</v>
      </c>
      <c r="D305" t="s">
        <v>349</v>
      </c>
      <c r="E305" s="1">
        <v>2500</v>
      </c>
      <c r="F305" s="2">
        <v>0.5</v>
      </c>
      <c r="G305" s="6">
        <v>0</v>
      </c>
      <c r="H305" s="3">
        <v>0</v>
      </c>
      <c r="I305" s="3">
        <v>0</v>
      </c>
      <c r="J305" s="3">
        <v>1.2E-2</v>
      </c>
      <c r="K305" s="3">
        <v>0</v>
      </c>
      <c r="L305" s="3">
        <v>0.72400000000000009</v>
      </c>
      <c r="M305" s="3">
        <v>0</v>
      </c>
      <c r="N305" s="3">
        <v>0</v>
      </c>
      <c r="O305" s="4">
        <f t="shared" si="4"/>
        <v>0.2</v>
      </c>
    </row>
    <row r="306" spans="1:15" x14ac:dyDescent="0.2">
      <c r="A306" t="s">
        <v>333</v>
      </c>
      <c r="B306" t="s">
        <v>334</v>
      </c>
      <c r="C306" t="s">
        <v>12</v>
      </c>
      <c r="D306" t="s">
        <v>350</v>
      </c>
      <c r="E306" s="1">
        <v>2500</v>
      </c>
      <c r="F306" s="2">
        <v>0</v>
      </c>
      <c r="G306" s="6">
        <v>0</v>
      </c>
      <c r="H306" s="3">
        <v>0</v>
      </c>
      <c r="I306" s="3">
        <v>0</v>
      </c>
      <c r="J306" s="3">
        <v>0</v>
      </c>
      <c r="K306" s="3">
        <v>0</v>
      </c>
      <c r="L306" s="3">
        <v>0.72400000000000009</v>
      </c>
      <c r="M306" s="3">
        <v>0</v>
      </c>
      <c r="N306" s="3">
        <v>0</v>
      </c>
      <c r="O306" s="4">
        <f t="shared" si="4"/>
        <v>0</v>
      </c>
    </row>
    <row r="307" spans="1:15" x14ac:dyDescent="0.2">
      <c r="A307" t="s">
        <v>333</v>
      </c>
      <c r="B307" t="s">
        <v>334</v>
      </c>
      <c r="C307" t="s">
        <v>14</v>
      </c>
      <c r="D307" t="s">
        <v>351</v>
      </c>
      <c r="E307" s="1"/>
      <c r="F307" s="2"/>
      <c r="G307" s="6">
        <v>0</v>
      </c>
      <c r="H307" s="3"/>
      <c r="I307" s="3"/>
      <c r="J307" s="3"/>
      <c r="K307" s="3"/>
      <c r="L307" s="3"/>
      <c r="M307" s="3"/>
      <c r="N307" s="3"/>
      <c r="O307" s="4" t="str">
        <f t="shared" si="4"/>
        <v/>
      </c>
    </row>
    <row r="308" spans="1:15" x14ac:dyDescent="0.2">
      <c r="A308" t="s">
        <v>333</v>
      </c>
      <c r="B308" t="s">
        <v>334</v>
      </c>
      <c r="C308" t="s">
        <v>13</v>
      </c>
      <c r="D308" t="s">
        <v>334</v>
      </c>
      <c r="E308" s="1">
        <v>3000</v>
      </c>
      <c r="F308" s="2">
        <v>7</v>
      </c>
      <c r="G308" s="6">
        <v>4.0999999999999995E-2</v>
      </c>
      <c r="H308" s="3"/>
      <c r="I308" s="3"/>
      <c r="J308" s="3"/>
      <c r="K308" s="3"/>
      <c r="L308" s="3"/>
      <c r="M308" s="3"/>
      <c r="N308" s="3"/>
      <c r="O308" s="4">
        <f t="shared" si="4"/>
        <v>2.3333333333333335</v>
      </c>
    </row>
    <row r="309" spans="1:15" x14ac:dyDescent="0.2">
      <c r="A309" t="s">
        <v>352</v>
      </c>
      <c r="B309" t="s">
        <v>353</v>
      </c>
      <c r="C309" t="s">
        <v>9</v>
      </c>
      <c r="D309" t="s">
        <v>354</v>
      </c>
      <c r="E309" s="1">
        <v>4900</v>
      </c>
      <c r="F309" s="2">
        <v>0</v>
      </c>
      <c r="G309" s="6">
        <v>0</v>
      </c>
      <c r="H309" s="3">
        <v>0</v>
      </c>
      <c r="I309" s="3">
        <v>0</v>
      </c>
      <c r="J309" s="3">
        <v>0</v>
      </c>
      <c r="K309" s="3">
        <v>0</v>
      </c>
      <c r="L309" s="3">
        <v>0</v>
      </c>
      <c r="M309" s="3">
        <v>0</v>
      </c>
      <c r="N309" s="3">
        <v>0</v>
      </c>
      <c r="O309" s="4">
        <f t="shared" si="4"/>
        <v>0</v>
      </c>
    </row>
    <row r="310" spans="1:15" x14ac:dyDescent="0.2">
      <c r="A310" t="s">
        <v>352</v>
      </c>
      <c r="B310" t="s">
        <v>353</v>
      </c>
      <c r="C310" t="s">
        <v>9</v>
      </c>
      <c r="D310" t="s">
        <v>355</v>
      </c>
      <c r="E310" s="1">
        <v>4400</v>
      </c>
      <c r="F310" s="2">
        <v>0</v>
      </c>
      <c r="G310" s="6">
        <v>0</v>
      </c>
      <c r="H310" s="3">
        <v>0</v>
      </c>
      <c r="I310" s="3">
        <v>0</v>
      </c>
      <c r="J310" s="3">
        <v>0</v>
      </c>
      <c r="K310" s="3">
        <v>0</v>
      </c>
      <c r="L310" s="3">
        <v>0</v>
      </c>
      <c r="M310" s="3">
        <v>0</v>
      </c>
      <c r="N310" s="3">
        <v>0</v>
      </c>
      <c r="O310" s="4">
        <f t="shared" si="4"/>
        <v>0</v>
      </c>
    </row>
    <row r="311" spans="1:15" x14ac:dyDescent="0.2">
      <c r="A311" t="s">
        <v>352</v>
      </c>
      <c r="B311" t="s">
        <v>353</v>
      </c>
      <c r="C311" t="s">
        <v>10</v>
      </c>
      <c r="D311" t="s">
        <v>356</v>
      </c>
      <c r="E311" s="1">
        <v>7300</v>
      </c>
      <c r="F311" s="2">
        <v>18</v>
      </c>
      <c r="G311" s="6">
        <v>0.1885</v>
      </c>
      <c r="H311" s="3">
        <v>0.76</v>
      </c>
      <c r="I311" s="3">
        <v>0.67200000000000004</v>
      </c>
      <c r="J311" s="3">
        <v>0.10199999999999999</v>
      </c>
      <c r="K311" s="3">
        <v>4.5999999999999999E-2</v>
      </c>
      <c r="L311" s="3">
        <v>0.75</v>
      </c>
      <c r="M311" s="3">
        <v>0</v>
      </c>
      <c r="N311" s="3">
        <v>0</v>
      </c>
      <c r="O311" s="4">
        <f t="shared" si="4"/>
        <v>2.4657534246575343</v>
      </c>
    </row>
    <row r="312" spans="1:15" x14ac:dyDescent="0.2">
      <c r="A312" t="s">
        <v>352</v>
      </c>
      <c r="B312" t="s">
        <v>353</v>
      </c>
      <c r="C312" t="s">
        <v>10</v>
      </c>
      <c r="D312" t="s">
        <v>357</v>
      </c>
      <c r="E312" s="1">
        <v>4300</v>
      </c>
      <c r="F312" s="2">
        <v>2.5</v>
      </c>
      <c r="G312" s="6">
        <v>5.0000000000000001E-4</v>
      </c>
      <c r="H312" s="3">
        <v>5.5E-2</v>
      </c>
      <c r="I312" s="3">
        <v>6.9000000000000006E-2</v>
      </c>
      <c r="J312" s="3">
        <v>3.1E-2</v>
      </c>
      <c r="K312" s="3">
        <v>1.2E-2</v>
      </c>
      <c r="L312" s="3">
        <v>0.78700000000000003</v>
      </c>
      <c r="M312" s="3">
        <v>0</v>
      </c>
      <c r="N312" s="3">
        <v>0</v>
      </c>
      <c r="O312" s="4">
        <f t="shared" si="4"/>
        <v>0.58139534883720934</v>
      </c>
    </row>
    <row r="313" spans="1:15" x14ac:dyDescent="0.2">
      <c r="A313" t="s">
        <v>352</v>
      </c>
      <c r="B313" t="s">
        <v>353</v>
      </c>
      <c r="C313" t="s">
        <v>10</v>
      </c>
      <c r="D313" t="s">
        <v>358</v>
      </c>
      <c r="E313" s="1">
        <v>4300</v>
      </c>
      <c r="F313" s="2">
        <v>0.6</v>
      </c>
      <c r="G313" s="6">
        <v>5.0000000000000001E-4</v>
      </c>
      <c r="H313" s="3">
        <v>0.01</v>
      </c>
      <c r="I313" s="3">
        <v>1.2E-2</v>
      </c>
      <c r="J313" s="3">
        <v>9.0000000000000011E-3</v>
      </c>
      <c r="K313" s="3">
        <v>3.0000000000000001E-3</v>
      </c>
      <c r="L313" s="3">
        <v>0.67500000000000004</v>
      </c>
      <c r="M313" s="3">
        <v>0</v>
      </c>
      <c r="N313" s="3">
        <v>0</v>
      </c>
      <c r="O313" s="4">
        <f t="shared" si="4"/>
        <v>0.13953488372093023</v>
      </c>
    </row>
    <row r="314" spans="1:15" x14ac:dyDescent="0.2">
      <c r="A314" t="s">
        <v>352</v>
      </c>
      <c r="B314" t="s">
        <v>353</v>
      </c>
      <c r="C314" t="s">
        <v>11</v>
      </c>
      <c r="D314" t="s">
        <v>359</v>
      </c>
      <c r="E314" s="1">
        <v>4700</v>
      </c>
      <c r="F314" s="2">
        <v>9.1</v>
      </c>
      <c r="G314" s="6">
        <v>4.1999999999999997E-3</v>
      </c>
      <c r="H314" s="3">
        <v>0</v>
      </c>
      <c r="I314" s="3">
        <v>0</v>
      </c>
      <c r="J314" s="3">
        <v>0.2</v>
      </c>
      <c r="K314" s="3">
        <v>0.14899999999999999</v>
      </c>
      <c r="L314" s="3">
        <v>0.63</v>
      </c>
      <c r="M314" s="3">
        <v>0</v>
      </c>
      <c r="N314" s="3">
        <v>0</v>
      </c>
      <c r="O314" s="4">
        <f t="shared" si="4"/>
        <v>1.9361702127659572</v>
      </c>
    </row>
    <row r="315" spans="1:15" x14ac:dyDescent="0.2">
      <c r="A315" t="s">
        <v>352</v>
      </c>
      <c r="B315" t="s">
        <v>353</v>
      </c>
      <c r="C315" t="s">
        <v>11</v>
      </c>
      <c r="D315" t="s">
        <v>360</v>
      </c>
      <c r="E315" s="1">
        <v>5200</v>
      </c>
      <c r="F315" s="2">
        <v>11.1</v>
      </c>
      <c r="G315" s="6">
        <v>7.1399999999999991E-2</v>
      </c>
      <c r="H315" s="3">
        <v>1.3999999999999999E-2</v>
      </c>
      <c r="I315" s="3">
        <v>2.5000000000000001E-2</v>
      </c>
      <c r="J315" s="3">
        <v>0.2</v>
      </c>
      <c r="K315" s="3">
        <v>0.24399999999999999</v>
      </c>
      <c r="L315" s="3">
        <v>0.66500000000000004</v>
      </c>
      <c r="M315" s="3">
        <v>0</v>
      </c>
      <c r="N315" s="3">
        <v>0</v>
      </c>
      <c r="O315" s="4">
        <f t="shared" si="4"/>
        <v>2.1346153846153846</v>
      </c>
    </row>
    <row r="316" spans="1:15" x14ac:dyDescent="0.2">
      <c r="A316" t="s">
        <v>352</v>
      </c>
      <c r="B316" t="s">
        <v>353</v>
      </c>
      <c r="C316" t="s">
        <v>11</v>
      </c>
      <c r="D316" t="s">
        <v>361</v>
      </c>
      <c r="E316" s="1">
        <v>5700</v>
      </c>
      <c r="F316" s="2">
        <v>10.1</v>
      </c>
      <c r="G316" s="6">
        <v>1.2500000000000001E-2</v>
      </c>
      <c r="H316" s="3">
        <v>0</v>
      </c>
      <c r="I316" s="3">
        <v>0</v>
      </c>
      <c r="J316" s="3">
        <v>0.16899999999999998</v>
      </c>
      <c r="K316" s="3">
        <v>0.30099999999999999</v>
      </c>
      <c r="L316" s="3">
        <v>0.55500000000000005</v>
      </c>
      <c r="M316" s="3">
        <v>0</v>
      </c>
      <c r="N316" s="3">
        <v>0</v>
      </c>
      <c r="O316" s="4">
        <f t="shared" si="4"/>
        <v>1.7719298245614035</v>
      </c>
    </row>
    <row r="317" spans="1:15" x14ac:dyDescent="0.2">
      <c r="A317" t="s">
        <v>352</v>
      </c>
      <c r="B317" t="s">
        <v>353</v>
      </c>
      <c r="C317" t="s">
        <v>11</v>
      </c>
      <c r="D317" t="s">
        <v>362</v>
      </c>
      <c r="E317" s="1">
        <v>3200</v>
      </c>
      <c r="F317" s="2">
        <v>1.3</v>
      </c>
      <c r="G317" s="6">
        <v>1E-3</v>
      </c>
      <c r="H317" s="3">
        <v>0</v>
      </c>
      <c r="I317" s="3">
        <v>0</v>
      </c>
      <c r="J317" s="3">
        <v>2.7999999999999997E-2</v>
      </c>
      <c r="K317" s="3">
        <v>1.9E-2</v>
      </c>
      <c r="L317" s="3">
        <v>0.48499999999999999</v>
      </c>
      <c r="M317" s="3">
        <v>0</v>
      </c>
      <c r="N317" s="3">
        <v>0</v>
      </c>
      <c r="O317" s="4">
        <f t="shared" si="4"/>
        <v>0.40625</v>
      </c>
    </row>
    <row r="318" spans="1:15" x14ac:dyDescent="0.2">
      <c r="A318" t="s">
        <v>352</v>
      </c>
      <c r="B318" t="s">
        <v>353</v>
      </c>
      <c r="C318" t="s">
        <v>11</v>
      </c>
      <c r="D318" t="s">
        <v>363</v>
      </c>
      <c r="E318" s="1">
        <v>3000</v>
      </c>
      <c r="F318" s="2">
        <v>0.6</v>
      </c>
      <c r="G318" s="6">
        <v>1E-4</v>
      </c>
      <c r="H318" s="3">
        <v>6.9999999999999993E-3</v>
      </c>
      <c r="I318" s="3">
        <v>8.0000000000000002E-3</v>
      </c>
      <c r="J318" s="3">
        <v>9.0000000000000011E-3</v>
      </c>
      <c r="K318" s="3">
        <v>5.0000000000000001E-3</v>
      </c>
      <c r="L318" s="3">
        <v>0.63</v>
      </c>
      <c r="M318" s="3">
        <v>0</v>
      </c>
      <c r="N318" s="3">
        <v>0</v>
      </c>
      <c r="O318" s="4">
        <f t="shared" si="4"/>
        <v>0.19999999999999998</v>
      </c>
    </row>
    <row r="319" spans="1:15" x14ac:dyDescent="0.2">
      <c r="A319" t="s">
        <v>352</v>
      </c>
      <c r="B319" t="s">
        <v>353</v>
      </c>
      <c r="C319" t="s">
        <v>11</v>
      </c>
      <c r="D319" t="s">
        <v>364</v>
      </c>
      <c r="E319" s="1">
        <v>3500</v>
      </c>
      <c r="F319" s="2">
        <v>0</v>
      </c>
      <c r="G319" s="6">
        <v>7.4999999999999997E-3</v>
      </c>
      <c r="H319" s="3">
        <v>0</v>
      </c>
      <c r="I319" s="3">
        <v>0</v>
      </c>
      <c r="J319" s="3">
        <v>0</v>
      </c>
      <c r="K319" s="3">
        <v>0</v>
      </c>
      <c r="L319" s="3">
        <v>0.63</v>
      </c>
      <c r="M319" s="3">
        <v>0</v>
      </c>
      <c r="N319" s="3">
        <v>0</v>
      </c>
      <c r="O319" s="4">
        <f t="shared" si="4"/>
        <v>0</v>
      </c>
    </row>
    <row r="320" spans="1:15" x14ac:dyDescent="0.2">
      <c r="A320" t="s">
        <v>352</v>
      </c>
      <c r="B320" t="s">
        <v>353</v>
      </c>
      <c r="C320" t="s">
        <v>12</v>
      </c>
      <c r="D320" t="s">
        <v>365</v>
      </c>
      <c r="E320" s="1">
        <v>4900</v>
      </c>
      <c r="F320" s="2">
        <v>12.2</v>
      </c>
      <c r="G320" s="6">
        <v>9.0299999999999991E-2</v>
      </c>
      <c r="H320" s="3">
        <v>0.01</v>
      </c>
      <c r="I320" s="3">
        <v>4.4999999999999998E-2</v>
      </c>
      <c r="J320" s="3">
        <v>0.21199999999999999</v>
      </c>
      <c r="K320" s="3">
        <v>0.20199999999999999</v>
      </c>
      <c r="L320" s="3">
        <v>0.68299999999999994</v>
      </c>
      <c r="M320" s="3">
        <v>0</v>
      </c>
      <c r="N320" s="3">
        <v>0</v>
      </c>
      <c r="O320" s="4">
        <f t="shared" si="4"/>
        <v>2.4897959183673466</v>
      </c>
    </row>
    <row r="321" spans="1:15" x14ac:dyDescent="0.2">
      <c r="A321" t="s">
        <v>352</v>
      </c>
      <c r="B321" t="s">
        <v>353</v>
      </c>
      <c r="C321" t="s">
        <v>12</v>
      </c>
      <c r="D321" t="s">
        <v>366</v>
      </c>
      <c r="E321" s="1">
        <v>2500</v>
      </c>
      <c r="F321" s="2">
        <v>1.9</v>
      </c>
      <c r="G321" s="6">
        <v>5.0000000000000001E-4</v>
      </c>
      <c r="H321" s="3">
        <v>0</v>
      </c>
      <c r="I321" s="3">
        <v>0</v>
      </c>
      <c r="J321" s="3">
        <v>0.04</v>
      </c>
      <c r="K321" s="3">
        <v>1.7000000000000001E-2</v>
      </c>
      <c r="L321" s="3">
        <v>0.624</v>
      </c>
      <c r="M321" s="3">
        <v>0</v>
      </c>
      <c r="N321" s="3">
        <v>0</v>
      </c>
      <c r="O321" s="4">
        <f t="shared" si="4"/>
        <v>0.76</v>
      </c>
    </row>
    <row r="322" spans="1:15" x14ac:dyDescent="0.2">
      <c r="A322" t="s">
        <v>352</v>
      </c>
      <c r="B322" t="s">
        <v>353</v>
      </c>
      <c r="C322" t="s">
        <v>12</v>
      </c>
      <c r="D322" t="s">
        <v>367</v>
      </c>
      <c r="E322" s="1">
        <v>2500</v>
      </c>
      <c r="F322" s="2">
        <v>0</v>
      </c>
      <c r="G322" s="6">
        <v>1E-4</v>
      </c>
      <c r="H322" s="3">
        <v>0</v>
      </c>
      <c r="I322" s="3">
        <v>0</v>
      </c>
      <c r="J322" s="3">
        <v>0</v>
      </c>
      <c r="K322" s="3">
        <v>0</v>
      </c>
      <c r="L322" s="3">
        <v>0.67799999999999994</v>
      </c>
      <c r="M322" s="3">
        <v>0</v>
      </c>
      <c r="N322" s="3">
        <v>0</v>
      </c>
      <c r="O322" s="4">
        <f t="shared" si="4"/>
        <v>0</v>
      </c>
    </row>
    <row r="323" spans="1:15" x14ac:dyDescent="0.2">
      <c r="A323" t="s">
        <v>352</v>
      </c>
      <c r="B323" t="s">
        <v>353</v>
      </c>
      <c r="C323" t="s">
        <v>13</v>
      </c>
      <c r="D323" t="s">
        <v>353</v>
      </c>
      <c r="E323" s="1">
        <v>2400</v>
      </c>
      <c r="F323" s="2">
        <v>5.8</v>
      </c>
      <c r="G323" s="6">
        <v>2.7300000000000001E-2</v>
      </c>
      <c r="H323" s="3"/>
      <c r="I323" s="3"/>
      <c r="J323" s="3"/>
      <c r="K323" s="3"/>
      <c r="L323" s="3"/>
      <c r="M323" s="3"/>
      <c r="N323" s="3"/>
      <c r="O323" s="4">
        <f t="shared" ref="O323:O386" si="5">IFERROR(F323/(E323/1000),"")</f>
        <v>2.4166666666666665</v>
      </c>
    </row>
    <row r="324" spans="1:15" x14ac:dyDescent="0.2">
      <c r="A324" t="s">
        <v>368</v>
      </c>
      <c r="B324" t="s">
        <v>369</v>
      </c>
      <c r="C324" t="s">
        <v>9</v>
      </c>
      <c r="D324" t="s">
        <v>370</v>
      </c>
      <c r="E324" s="1">
        <v>7000</v>
      </c>
      <c r="F324" s="2">
        <v>21.1</v>
      </c>
      <c r="G324" s="6">
        <v>5.4699999999999999E-2</v>
      </c>
      <c r="H324" s="3">
        <v>0.24600000000000002</v>
      </c>
      <c r="I324" s="3">
        <v>0.45</v>
      </c>
      <c r="J324" s="3">
        <v>0</v>
      </c>
      <c r="K324" s="3">
        <v>0</v>
      </c>
      <c r="L324" s="3">
        <v>0</v>
      </c>
      <c r="M324" s="3">
        <v>1</v>
      </c>
      <c r="N324" s="3">
        <v>0.02</v>
      </c>
      <c r="O324" s="4">
        <f t="shared" si="5"/>
        <v>3.0142857142857147</v>
      </c>
    </row>
    <row r="325" spans="1:15" x14ac:dyDescent="0.2">
      <c r="A325" t="s">
        <v>368</v>
      </c>
      <c r="B325" t="s">
        <v>369</v>
      </c>
      <c r="C325" t="s">
        <v>9</v>
      </c>
      <c r="D325" t="s">
        <v>371</v>
      </c>
      <c r="E325" s="1">
        <v>4000</v>
      </c>
      <c r="F325" s="2">
        <v>0</v>
      </c>
      <c r="G325" s="6">
        <v>0</v>
      </c>
      <c r="H325" s="3">
        <v>0</v>
      </c>
      <c r="I325" s="3">
        <v>0</v>
      </c>
      <c r="J325" s="3">
        <v>0</v>
      </c>
      <c r="K325" s="3">
        <v>0</v>
      </c>
      <c r="L325" s="3">
        <v>0</v>
      </c>
      <c r="M325" s="3">
        <v>0</v>
      </c>
      <c r="N325" s="3">
        <v>0</v>
      </c>
      <c r="O325" s="4">
        <f t="shared" si="5"/>
        <v>0</v>
      </c>
    </row>
    <row r="326" spans="1:15" x14ac:dyDescent="0.2">
      <c r="A326" t="s">
        <v>368</v>
      </c>
      <c r="B326" t="s">
        <v>369</v>
      </c>
      <c r="C326" t="s">
        <v>10</v>
      </c>
      <c r="D326" t="s">
        <v>372</v>
      </c>
      <c r="E326" s="1">
        <v>7200</v>
      </c>
      <c r="F326" s="2">
        <v>12.9</v>
      </c>
      <c r="G326" s="6">
        <v>0.11019999999999999</v>
      </c>
      <c r="H326" s="3">
        <v>0.58799999999999997</v>
      </c>
      <c r="I326" s="3">
        <v>0.45200000000000001</v>
      </c>
      <c r="J326" s="3">
        <v>8.3000000000000004E-2</v>
      </c>
      <c r="K326" s="3">
        <v>9.3000000000000013E-2</v>
      </c>
      <c r="L326" s="3">
        <v>0.82700000000000007</v>
      </c>
      <c r="M326" s="3">
        <v>0</v>
      </c>
      <c r="N326" s="3">
        <v>0</v>
      </c>
      <c r="O326" s="4">
        <f t="shared" si="5"/>
        <v>1.7916666666666667</v>
      </c>
    </row>
    <row r="327" spans="1:15" x14ac:dyDescent="0.2">
      <c r="A327" t="s">
        <v>368</v>
      </c>
      <c r="B327" t="s">
        <v>369</v>
      </c>
      <c r="C327" t="s">
        <v>10</v>
      </c>
      <c r="D327" t="s">
        <v>373</v>
      </c>
      <c r="E327" s="1">
        <v>4600</v>
      </c>
      <c r="F327" s="2">
        <v>2.8</v>
      </c>
      <c r="G327" s="6">
        <v>2.8999999999999998E-3</v>
      </c>
      <c r="H327" s="3">
        <v>0.10199999999999999</v>
      </c>
      <c r="I327" s="3">
        <v>5.7999999999999996E-2</v>
      </c>
      <c r="J327" s="3">
        <v>3.1E-2</v>
      </c>
      <c r="K327" s="3">
        <v>0.02</v>
      </c>
      <c r="L327" s="3">
        <v>0.82799999999999996</v>
      </c>
      <c r="M327" s="3">
        <v>0</v>
      </c>
      <c r="N327" s="3">
        <v>0</v>
      </c>
      <c r="O327" s="4">
        <f t="shared" si="5"/>
        <v>0.60869565217391308</v>
      </c>
    </row>
    <row r="328" spans="1:15" x14ac:dyDescent="0.2">
      <c r="A328" t="s">
        <v>368</v>
      </c>
      <c r="B328" t="s">
        <v>369</v>
      </c>
      <c r="C328" t="s">
        <v>10</v>
      </c>
      <c r="D328" t="s">
        <v>374</v>
      </c>
      <c r="E328" s="1">
        <v>4200</v>
      </c>
      <c r="F328" s="2">
        <v>3.6</v>
      </c>
      <c r="G328" s="6">
        <v>2.5000000000000001E-3</v>
      </c>
      <c r="H328" s="3">
        <v>4.2999999999999997E-2</v>
      </c>
      <c r="I328" s="3">
        <v>2.6000000000000002E-2</v>
      </c>
      <c r="J328" s="3">
        <v>7.0999999999999994E-2</v>
      </c>
      <c r="K328" s="3">
        <v>0.05</v>
      </c>
      <c r="L328" s="3">
        <v>0.73499999999999999</v>
      </c>
      <c r="M328" s="3">
        <v>0</v>
      </c>
      <c r="N328" s="3">
        <v>0</v>
      </c>
      <c r="O328" s="4">
        <f t="shared" si="5"/>
        <v>0.8571428571428571</v>
      </c>
    </row>
    <row r="329" spans="1:15" x14ac:dyDescent="0.2">
      <c r="A329" t="s">
        <v>368</v>
      </c>
      <c r="B329" t="s">
        <v>369</v>
      </c>
      <c r="C329" t="s">
        <v>11</v>
      </c>
      <c r="D329" t="s">
        <v>375</v>
      </c>
      <c r="E329" s="1">
        <v>5600</v>
      </c>
      <c r="F329" s="2">
        <v>10.199999999999999</v>
      </c>
      <c r="G329" s="6">
        <v>4.8000000000000001E-2</v>
      </c>
      <c r="H329" s="3">
        <v>1.8000000000000002E-2</v>
      </c>
      <c r="I329" s="3">
        <v>1.1000000000000001E-2</v>
      </c>
      <c r="J329" s="3">
        <v>0.2</v>
      </c>
      <c r="K329" s="3">
        <v>0.221</v>
      </c>
      <c r="L329" s="3">
        <v>0.65599999999999992</v>
      </c>
      <c r="M329" s="3">
        <v>0</v>
      </c>
      <c r="N329" s="3">
        <v>0</v>
      </c>
      <c r="O329" s="4">
        <f t="shared" si="5"/>
        <v>1.8214285714285714</v>
      </c>
    </row>
    <row r="330" spans="1:15" x14ac:dyDescent="0.2">
      <c r="A330" t="s">
        <v>368</v>
      </c>
      <c r="B330" t="s">
        <v>369</v>
      </c>
      <c r="C330" t="s">
        <v>11</v>
      </c>
      <c r="D330" t="s">
        <v>376</v>
      </c>
      <c r="E330" s="1">
        <v>4800</v>
      </c>
      <c r="F330" s="2">
        <v>8.8000000000000007</v>
      </c>
      <c r="G330" s="6">
        <v>4.7400000000000005E-2</v>
      </c>
      <c r="H330" s="3">
        <v>4.0000000000000001E-3</v>
      </c>
      <c r="I330" s="3">
        <v>2E-3</v>
      </c>
      <c r="J330" s="3">
        <v>0.16</v>
      </c>
      <c r="K330" s="3">
        <v>0.16</v>
      </c>
      <c r="L330" s="3">
        <v>0.75099999999999989</v>
      </c>
      <c r="M330" s="3">
        <v>0</v>
      </c>
      <c r="N330" s="3">
        <v>0</v>
      </c>
      <c r="O330" s="4">
        <f t="shared" si="5"/>
        <v>1.8333333333333335</v>
      </c>
    </row>
    <row r="331" spans="1:15" x14ac:dyDescent="0.2">
      <c r="A331" t="s">
        <v>368</v>
      </c>
      <c r="B331" t="s">
        <v>369</v>
      </c>
      <c r="C331" t="s">
        <v>11</v>
      </c>
      <c r="D331" t="s">
        <v>377</v>
      </c>
      <c r="E331" s="1">
        <v>4000</v>
      </c>
      <c r="F331" s="2">
        <v>4.5999999999999996</v>
      </c>
      <c r="G331" s="6">
        <v>7.8000000000000005E-3</v>
      </c>
      <c r="H331" s="3">
        <v>0</v>
      </c>
      <c r="I331" s="3">
        <v>0</v>
      </c>
      <c r="J331" s="3">
        <v>9.8000000000000004E-2</v>
      </c>
      <c r="K331" s="3">
        <v>0.1</v>
      </c>
      <c r="L331" s="3">
        <v>0.58299999999999996</v>
      </c>
      <c r="M331" s="3">
        <v>0</v>
      </c>
      <c r="N331" s="3">
        <v>0</v>
      </c>
      <c r="O331" s="4">
        <f t="shared" si="5"/>
        <v>1.1499999999999999</v>
      </c>
    </row>
    <row r="332" spans="1:15" x14ac:dyDescent="0.2">
      <c r="A332" t="s">
        <v>368</v>
      </c>
      <c r="B332" t="s">
        <v>369</v>
      </c>
      <c r="C332" t="s">
        <v>11</v>
      </c>
      <c r="D332" t="s">
        <v>378</v>
      </c>
      <c r="E332" s="1">
        <v>3500</v>
      </c>
      <c r="F332" s="2">
        <v>2.5</v>
      </c>
      <c r="G332" s="6">
        <v>2.8000000000000004E-3</v>
      </c>
      <c r="H332" s="3">
        <v>0</v>
      </c>
      <c r="I332" s="3">
        <v>0</v>
      </c>
      <c r="J332" s="3">
        <v>6.2E-2</v>
      </c>
      <c r="K332" s="3">
        <v>2.7999999999999997E-2</v>
      </c>
      <c r="L332" s="3">
        <v>0.60099999999999998</v>
      </c>
      <c r="M332" s="3">
        <v>0</v>
      </c>
      <c r="N332" s="3">
        <v>0</v>
      </c>
      <c r="O332" s="4">
        <f t="shared" si="5"/>
        <v>0.7142857142857143</v>
      </c>
    </row>
    <row r="333" spans="1:15" x14ac:dyDescent="0.2">
      <c r="A333" t="s">
        <v>368</v>
      </c>
      <c r="B333" t="s">
        <v>369</v>
      </c>
      <c r="C333" t="s">
        <v>11</v>
      </c>
      <c r="D333" t="s">
        <v>379</v>
      </c>
      <c r="E333" s="1">
        <v>3100</v>
      </c>
      <c r="F333" s="2">
        <v>0.5</v>
      </c>
      <c r="G333" s="6">
        <v>2.5000000000000001E-3</v>
      </c>
      <c r="H333" s="3">
        <v>0</v>
      </c>
      <c r="I333" s="3">
        <v>0</v>
      </c>
      <c r="J333" s="3">
        <v>9.0000000000000011E-3</v>
      </c>
      <c r="K333" s="3">
        <v>1.1000000000000001E-2</v>
      </c>
      <c r="L333" s="3">
        <v>0.63</v>
      </c>
      <c r="M333" s="3">
        <v>0</v>
      </c>
      <c r="N333" s="3">
        <v>0</v>
      </c>
      <c r="O333" s="4">
        <f t="shared" si="5"/>
        <v>0.16129032258064516</v>
      </c>
    </row>
    <row r="334" spans="1:15" x14ac:dyDescent="0.2">
      <c r="A334" t="s">
        <v>368</v>
      </c>
      <c r="B334" t="s">
        <v>369</v>
      </c>
      <c r="C334" t="s">
        <v>12</v>
      </c>
      <c r="D334" t="s">
        <v>380</v>
      </c>
      <c r="E334" s="1">
        <v>4600</v>
      </c>
      <c r="F334" s="2">
        <v>8.1999999999999993</v>
      </c>
      <c r="G334" s="6">
        <v>3.49E-2</v>
      </c>
      <c r="H334" s="3">
        <v>0</v>
      </c>
      <c r="I334" s="3">
        <v>0</v>
      </c>
      <c r="J334" s="3">
        <v>0.16</v>
      </c>
      <c r="K334" s="3">
        <v>0.191</v>
      </c>
      <c r="L334" s="3">
        <v>0.67400000000000004</v>
      </c>
      <c r="M334" s="3">
        <v>0</v>
      </c>
      <c r="N334" s="3">
        <v>0</v>
      </c>
      <c r="O334" s="4">
        <f t="shared" si="5"/>
        <v>1.7826086956521738</v>
      </c>
    </row>
    <row r="335" spans="1:15" x14ac:dyDescent="0.2">
      <c r="A335" t="s">
        <v>368</v>
      </c>
      <c r="B335" t="s">
        <v>369</v>
      </c>
      <c r="C335" t="s">
        <v>12</v>
      </c>
      <c r="D335" t="s">
        <v>381</v>
      </c>
      <c r="E335" s="1">
        <v>3100</v>
      </c>
      <c r="F335" s="2">
        <v>4.5</v>
      </c>
      <c r="G335" s="6">
        <v>3.4000000000000002E-3</v>
      </c>
      <c r="H335" s="3">
        <v>0</v>
      </c>
      <c r="I335" s="3">
        <v>0</v>
      </c>
      <c r="J335" s="3">
        <v>9.1999999999999998E-2</v>
      </c>
      <c r="K335" s="3">
        <v>9.1999999999999998E-2</v>
      </c>
      <c r="L335" s="3">
        <v>0.70900000000000007</v>
      </c>
      <c r="M335" s="3">
        <v>0</v>
      </c>
      <c r="N335" s="3">
        <v>0</v>
      </c>
      <c r="O335" s="4">
        <f t="shared" si="5"/>
        <v>1.4516129032258065</v>
      </c>
    </row>
    <row r="336" spans="1:15" x14ac:dyDescent="0.2">
      <c r="A336" t="s">
        <v>368</v>
      </c>
      <c r="B336" t="s">
        <v>369</v>
      </c>
      <c r="C336" t="s">
        <v>12</v>
      </c>
      <c r="D336" t="s">
        <v>382</v>
      </c>
      <c r="E336" s="1">
        <v>2500</v>
      </c>
      <c r="F336" s="2">
        <v>1.7</v>
      </c>
      <c r="G336" s="6">
        <v>1E-4</v>
      </c>
      <c r="H336" s="3">
        <v>0</v>
      </c>
      <c r="I336" s="3">
        <v>0</v>
      </c>
      <c r="J336" s="3">
        <v>3.4000000000000002E-2</v>
      </c>
      <c r="K336" s="3">
        <v>3.5000000000000003E-2</v>
      </c>
      <c r="L336" s="3">
        <v>0.79599999999999993</v>
      </c>
      <c r="M336" s="3">
        <v>0</v>
      </c>
      <c r="N336" s="3">
        <v>0</v>
      </c>
      <c r="O336" s="4">
        <f t="shared" si="5"/>
        <v>0.67999999999999994</v>
      </c>
    </row>
    <row r="337" spans="1:15" x14ac:dyDescent="0.2">
      <c r="A337" t="s">
        <v>368</v>
      </c>
      <c r="B337" t="s">
        <v>369</v>
      </c>
      <c r="C337" t="s">
        <v>12</v>
      </c>
      <c r="D337" t="s">
        <v>383</v>
      </c>
      <c r="E337" s="1">
        <v>2500</v>
      </c>
      <c r="F337" s="2">
        <v>0</v>
      </c>
      <c r="G337" s="6">
        <v>0</v>
      </c>
      <c r="H337" s="3">
        <v>0</v>
      </c>
      <c r="I337" s="3">
        <v>0</v>
      </c>
      <c r="J337" s="3">
        <v>0</v>
      </c>
      <c r="K337" s="3">
        <v>0</v>
      </c>
      <c r="L337" s="3">
        <v>0.79299999999999993</v>
      </c>
      <c r="M337" s="3">
        <v>0</v>
      </c>
      <c r="N337" s="3">
        <v>0</v>
      </c>
      <c r="O337" s="4">
        <f t="shared" si="5"/>
        <v>0</v>
      </c>
    </row>
    <row r="338" spans="1:15" x14ac:dyDescent="0.2">
      <c r="A338" t="s">
        <v>368</v>
      </c>
      <c r="B338" t="s">
        <v>369</v>
      </c>
      <c r="C338" t="s">
        <v>14</v>
      </c>
      <c r="D338" t="s">
        <v>384</v>
      </c>
      <c r="E338" s="1"/>
      <c r="F338" s="2"/>
      <c r="G338" s="6">
        <v>0</v>
      </c>
      <c r="H338" s="3"/>
      <c r="I338" s="3"/>
      <c r="J338" s="3"/>
      <c r="K338" s="3"/>
      <c r="L338" s="3"/>
      <c r="M338" s="3"/>
      <c r="N338" s="3"/>
      <c r="O338" s="4" t="str">
        <f t="shared" si="5"/>
        <v/>
      </c>
    </row>
    <row r="339" spans="1:15" x14ac:dyDescent="0.2">
      <c r="A339" t="s">
        <v>368</v>
      </c>
      <c r="B339" t="s">
        <v>369</v>
      </c>
      <c r="C339" t="s">
        <v>13</v>
      </c>
      <c r="D339" t="s">
        <v>369</v>
      </c>
      <c r="E339" s="1">
        <v>3100</v>
      </c>
      <c r="F339" s="2">
        <v>6.6</v>
      </c>
      <c r="G339" s="6">
        <v>2.9600000000000001E-2</v>
      </c>
      <c r="H339" s="3"/>
      <c r="I339" s="3"/>
      <c r="J339" s="3"/>
      <c r="K339" s="3"/>
      <c r="L339" s="3"/>
      <c r="M339" s="3"/>
      <c r="N339" s="3"/>
      <c r="O339" s="4">
        <f t="shared" si="5"/>
        <v>2.129032258064516</v>
      </c>
    </row>
    <row r="340" spans="1:15" x14ac:dyDescent="0.2">
      <c r="A340" t="s">
        <v>385</v>
      </c>
      <c r="B340" t="s">
        <v>386</v>
      </c>
      <c r="C340" t="s">
        <v>9</v>
      </c>
      <c r="D340" t="s">
        <v>387</v>
      </c>
      <c r="E340" s="1">
        <v>5200</v>
      </c>
      <c r="F340" s="2">
        <v>15.4</v>
      </c>
      <c r="G340" s="6">
        <v>3.0899999999999997E-2</v>
      </c>
      <c r="H340" s="3">
        <v>0.121</v>
      </c>
      <c r="I340" s="3">
        <v>0.05</v>
      </c>
      <c r="J340" s="3">
        <v>0</v>
      </c>
      <c r="K340" s="3">
        <v>0</v>
      </c>
      <c r="L340" s="3">
        <v>0</v>
      </c>
      <c r="M340" s="3">
        <v>1</v>
      </c>
      <c r="N340" s="3">
        <v>1.8000000000000002E-2</v>
      </c>
      <c r="O340" s="4">
        <f t="shared" si="5"/>
        <v>2.9615384615384617</v>
      </c>
    </row>
    <row r="341" spans="1:15" x14ac:dyDescent="0.2">
      <c r="A341" t="s">
        <v>385</v>
      </c>
      <c r="B341" t="s">
        <v>386</v>
      </c>
      <c r="C341" t="s">
        <v>9</v>
      </c>
      <c r="D341" t="s">
        <v>388</v>
      </c>
      <c r="E341" s="1">
        <v>4200</v>
      </c>
      <c r="F341" s="2">
        <v>0</v>
      </c>
      <c r="G341" s="6">
        <v>0</v>
      </c>
      <c r="H341" s="3">
        <v>0</v>
      </c>
      <c r="I341" s="3">
        <v>0</v>
      </c>
      <c r="J341" s="3">
        <v>0</v>
      </c>
      <c r="K341" s="3">
        <v>0</v>
      </c>
      <c r="L341" s="3">
        <v>0</v>
      </c>
      <c r="M341" s="3">
        <v>0</v>
      </c>
      <c r="N341" s="3">
        <v>0</v>
      </c>
      <c r="O341" s="4">
        <f t="shared" si="5"/>
        <v>0</v>
      </c>
    </row>
    <row r="342" spans="1:15" x14ac:dyDescent="0.2">
      <c r="A342" t="s">
        <v>385</v>
      </c>
      <c r="B342" t="s">
        <v>386</v>
      </c>
      <c r="C342" t="s">
        <v>10</v>
      </c>
      <c r="D342" t="s">
        <v>389</v>
      </c>
      <c r="E342" s="1">
        <v>6000</v>
      </c>
      <c r="F342" s="2">
        <v>13.5</v>
      </c>
      <c r="G342" s="6">
        <v>7.2999999999999995E-2</v>
      </c>
      <c r="H342" s="3">
        <v>0.51800000000000002</v>
      </c>
      <c r="I342" s="3">
        <v>0.69499999999999995</v>
      </c>
      <c r="J342" s="3">
        <v>0.08</v>
      </c>
      <c r="K342" s="3">
        <v>3.7999999999999999E-2</v>
      </c>
      <c r="L342" s="3">
        <v>0.879</v>
      </c>
      <c r="M342" s="3">
        <v>0</v>
      </c>
      <c r="N342" s="3">
        <v>0</v>
      </c>
      <c r="O342" s="4">
        <f t="shared" si="5"/>
        <v>2.25</v>
      </c>
    </row>
    <row r="343" spans="1:15" x14ac:dyDescent="0.2">
      <c r="A343" t="s">
        <v>385</v>
      </c>
      <c r="B343" t="s">
        <v>386</v>
      </c>
      <c r="C343" t="s">
        <v>10</v>
      </c>
      <c r="D343" t="s">
        <v>390</v>
      </c>
      <c r="E343" s="1">
        <v>5000</v>
      </c>
      <c r="F343" s="2">
        <v>9.3000000000000007</v>
      </c>
      <c r="G343" s="6">
        <v>5.8999999999999999E-3</v>
      </c>
      <c r="H343" s="3">
        <v>0.33100000000000002</v>
      </c>
      <c r="I343" s="3">
        <v>0.24</v>
      </c>
      <c r="J343" s="3">
        <v>0.08</v>
      </c>
      <c r="K343" s="3">
        <v>0.11900000000000001</v>
      </c>
      <c r="L343" s="3">
        <v>0.69700000000000006</v>
      </c>
      <c r="M343" s="3">
        <v>0</v>
      </c>
      <c r="N343" s="3">
        <v>0</v>
      </c>
      <c r="O343" s="4">
        <f t="shared" si="5"/>
        <v>1.86</v>
      </c>
    </row>
    <row r="344" spans="1:15" x14ac:dyDescent="0.2">
      <c r="A344" t="s">
        <v>385</v>
      </c>
      <c r="B344" t="s">
        <v>386</v>
      </c>
      <c r="C344" t="s">
        <v>10</v>
      </c>
      <c r="D344" t="s">
        <v>391</v>
      </c>
      <c r="E344" s="1">
        <v>4000</v>
      </c>
      <c r="F344" s="2">
        <v>0.4</v>
      </c>
      <c r="G344" s="6">
        <v>1E-4</v>
      </c>
      <c r="H344" s="3">
        <v>1.8000000000000002E-2</v>
      </c>
      <c r="I344" s="3">
        <v>5.0000000000000001E-3</v>
      </c>
      <c r="J344" s="3">
        <v>3.0000000000000001E-3</v>
      </c>
      <c r="K344" s="3">
        <v>3.0000000000000001E-3</v>
      </c>
      <c r="L344" s="3">
        <v>0.78700000000000003</v>
      </c>
      <c r="M344" s="3">
        <v>0</v>
      </c>
      <c r="N344" s="3">
        <v>0</v>
      </c>
      <c r="O344" s="4">
        <f t="shared" si="5"/>
        <v>0.1</v>
      </c>
    </row>
    <row r="345" spans="1:15" x14ac:dyDescent="0.2">
      <c r="A345" t="s">
        <v>385</v>
      </c>
      <c r="B345" t="s">
        <v>386</v>
      </c>
      <c r="C345" t="s">
        <v>11</v>
      </c>
      <c r="D345" t="s">
        <v>392</v>
      </c>
      <c r="E345" s="1">
        <v>7000</v>
      </c>
      <c r="F345" s="2">
        <v>14</v>
      </c>
      <c r="G345" s="6">
        <v>0.11800000000000001</v>
      </c>
      <c r="H345" s="3">
        <v>6.9999999999999993E-3</v>
      </c>
      <c r="I345" s="3">
        <v>5.0000000000000001E-3</v>
      </c>
      <c r="J345" s="3">
        <v>0.253</v>
      </c>
      <c r="K345" s="3">
        <v>0.24299999999999999</v>
      </c>
      <c r="L345" s="3">
        <v>0.63400000000000001</v>
      </c>
      <c r="M345" s="3">
        <v>0</v>
      </c>
      <c r="N345" s="3">
        <v>0</v>
      </c>
      <c r="O345" s="4">
        <f t="shared" si="5"/>
        <v>2</v>
      </c>
    </row>
    <row r="346" spans="1:15" x14ac:dyDescent="0.2">
      <c r="A346" t="s">
        <v>385</v>
      </c>
      <c r="B346" t="s">
        <v>386</v>
      </c>
      <c r="C346" t="s">
        <v>11</v>
      </c>
      <c r="D346" t="s">
        <v>393</v>
      </c>
      <c r="E346" s="1">
        <v>4500</v>
      </c>
      <c r="F346" s="2">
        <v>6.3</v>
      </c>
      <c r="G346" s="6">
        <v>4.3E-3</v>
      </c>
      <c r="H346" s="3">
        <v>4.0000000000000001E-3</v>
      </c>
      <c r="I346" s="3">
        <v>4.0000000000000001E-3</v>
      </c>
      <c r="J346" s="3">
        <v>0.12</v>
      </c>
      <c r="K346" s="3">
        <v>0.115</v>
      </c>
      <c r="L346" s="3">
        <v>0.66299999999999992</v>
      </c>
      <c r="M346" s="3">
        <v>0</v>
      </c>
      <c r="N346" s="3">
        <v>0</v>
      </c>
      <c r="O346" s="4">
        <f t="shared" si="5"/>
        <v>1.4</v>
      </c>
    </row>
    <row r="347" spans="1:15" x14ac:dyDescent="0.2">
      <c r="A347" t="s">
        <v>385</v>
      </c>
      <c r="B347" t="s">
        <v>386</v>
      </c>
      <c r="C347" t="s">
        <v>11</v>
      </c>
      <c r="D347" t="s">
        <v>394</v>
      </c>
      <c r="E347" s="1">
        <v>3200</v>
      </c>
      <c r="F347" s="2">
        <v>5.8</v>
      </c>
      <c r="G347" s="6">
        <v>4.7999999999999996E-3</v>
      </c>
      <c r="H347" s="3">
        <v>0</v>
      </c>
      <c r="I347" s="3">
        <v>0</v>
      </c>
      <c r="J347" s="3">
        <v>0.11699999999999999</v>
      </c>
      <c r="K347" s="3">
        <v>0.11900000000000001</v>
      </c>
      <c r="L347" s="3">
        <v>0.57399999999999995</v>
      </c>
      <c r="M347" s="3">
        <v>0</v>
      </c>
      <c r="N347" s="3">
        <v>0</v>
      </c>
      <c r="O347" s="4">
        <f t="shared" si="5"/>
        <v>1.8124999999999998</v>
      </c>
    </row>
    <row r="348" spans="1:15" x14ac:dyDescent="0.2">
      <c r="A348" t="s">
        <v>385</v>
      </c>
      <c r="B348" t="s">
        <v>386</v>
      </c>
      <c r="C348" t="s">
        <v>11</v>
      </c>
      <c r="D348" t="s">
        <v>395</v>
      </c>
      <c r="E348" s="1">
        <v>3600</v>
      </c>
      <c r="F348" s="2">
        <v>4.4000000000000004</v>
      </c>
      <c r="G348" s="6">
        <v>2.8999999999999998E-3</v>
      </c>
      <c r="H348" s="3">
        <v>0</v>
      </c>
      <c r="I348" s="3">
        <v>0</v>
      </c>
      <c r="J348" s="3">
        <v>0.08</v>
      </c>
      <c r="K348" s="3">
        <v>0.107</v>
      </c>
      <c r="L348" s="3">
        <v>0.71400000000000008</v>
      </c>
      <c r="M348" s="3">
        <v>0</v>
      </c>
      <c r="N348" s="3">
        <v>0</v>
      </c>
      <c r="O348" s="4">
        <f t="shared" si="5"/>
        <v>1.2222222222222223</v>
      </c>
    </row>
    <row r="349" spans="1:15" x14ac:dyDescent="0.2">
      <c r="A349" t="s">
        <v>385</v>
      </c>
      <c r="B349" t="s">
        <v>386</v>
      </c>
      <c r="C349" t="s">
        <v>11</v>
      </c>
      <c r="D349" t="s">
        <v>396</v>
      </c>
      <c r="E349" s="1">
        <v>3000</v>
      </c>
      <c r="F349" s="2">
        <v>0.5</v>
      </c>
      <c r="G349" s="6">
        <v>1E-4</v>
      </c>
      <c r="H349" s="3">
        <v>0</v>
      </c>
      <c r="I349" s="3">
        <v>0</v>
      </c>
      <c r="J349" s="3">
        <v>0.01</v>
      </c>
      <c r="K349" s="3">
        <v>5.0000000000000001E-3</v>
      </c>
      <c r="L349" s="3">
        <v>0.68299999999999994</v>
      </c>
      <c r="M349" s="3">
        <v>0</v>
      </c>
      <c r="N349" s="3">
        <v>0</v>
      </c>
      <c r="O349" s="4">
        <f t="shared" si="5"/>
        <v>0.16666666666666666</v>
      </c>
    </row>
    <row r="350" spans="1:15" x14ac:dyDescent="0.2">
      <c r="A350" t="s">
        <v>385</v>
      </c>
      <c r="B350" t="s">
        <v>386</v>
      </c>
      <c r="C350" t="s">
        <v>12</v>
      </c>
      <c r="D350" t="s">
        <v>397</v>
      </c>
      <c r="E350" s="1">
        <v>3400</v>
      </c>
      <c r="F350" s="2">
        <v>9.6</v>
      </c>
      <c r="G350" s="6">
        <v>5.5999999999999994E-2</v>
      </c>
      <c r="H350" s="3">
        <v>0</v>
      </c>
      <c r="I350" s="3">
        <v>0</v>
      </c>
      <c r="J350" s="3">
        <v>0.187</v>
      </c>
      <c r="K350" s="3">
        <v>0.19</v>
      </c>
      <c r="L350" s="3">
        <v>0.70799999999999996</v>
      </c>
      <c r="M350" s="3">
        <v>0</v>
      </c>
      <c r="N350" s="3">
        <v>0</v>
      </c>
      <c r="O350" s="4">
        <f t="shared" si="5"/>
        <v>2.8235294117647061</v>
      </c>
    </row>
    <row r="351" spans="1:15" x14ac:dyDescent="0.2">
      <c r="A351" t="s">
        <v>385</v>
      </c>
      <c r="B351" t="s">
        <v>386</v>
      </c>
      <c r="C351" t="s">
        <v>12</v>
      </c>
      <c r="D351" t="s">
        <v>398</v>
      </c>
      <c r="E351" s="1">
        <v>2500</v>
      </c>
      <c r="F351" s="2">
        <v>3.1</v>
      </c>
      <c r="G351" s="6">
        <v>2.9999999999999997E-4</v>
      </c>
      <c r="H351" s="3">
        <v>0</v>
      </c>
      <c r="I351" s="3">
        <v>0</v>
      </c>
      <c r="J351" s="3">
        <v>0.06</v>
      </c>
      <c r="K351" s="3">
        <v>0.05</v>
      </c>
      <c r="L351" s="3">
        <v>0.71400000000000008</v>
      </c>
      <c r="M351" s="3">
        <v>0</v>
      </c>
      <c r="N351" s="3">
        <v>0</v>
      </c>
      <c r="O351" s="4">
        <f t="shared" si="5"/>
        <v>1.24</v>
      </c>
    </row>
    <row r="352" spans="1:15" x14ac:dyDescent="0.2">
      <c r="A352" t="s">
        <v>385</v>
      </c>
      <c r="B352" t="s">
        <v>386</v>
      </c>
      <c r="C352" t="s">
        <v>12</v>
      </c>
      <c r="D352" t="s">
        <v>399</v>
      </c>
      <c r="E352" s="1">
        <v>2600</v>
      </c>
      <c r="F352" s="2">
        <v>0.6</v>
      </c>
      <c r="G352" s="6">
        <v>1E-4</v>
      </c>
      <c r="H352" s="3">
        <v>0</v>
      </c>
      <c r="I352" s="3">
        <v>0</v>
      </c>
      <c r="J352" s="3">
        <v>0.01</v>
      </c>
      <c r="K352" s="3">
        <v>1.2E-2</v>
      </c>
      <c r="L352" s="3">
        <v>0.7340000000000001</v>
      </c>
      <c r="M352" s="3">
        <v>0</v>
      </c>
      <c r="N352" s="3">
        <v>0</v>
      </c>
      <c r="O352" s="4">
        <f t="shared" si="5"/>
        <v>0.23076923076923075</v>
      </c>
    </row>
    <row r="353" spans="1:15" x14ac:dyDescent="0.2">
      <c r="A353" t="s">
        <v>385</v>
      </c>
      <c r="B353" t="s">
        <v>386</v>
      </c>
      <c r="C353" t="s">
        <v>12</v>
      </c>
      <c r="D353" t="s">
        <v>400</v>
      </c>
      <c r="E353" s="1">
        <v>2500</v>
      </c>
      <c r="F353" s="2">
        <v>0</v>
      </c>
      <c r="G353" s="6">
        <v>0</v>
      </c>
      <c r="H353" s="3">
        <v>0</v>
      </c>
      <c r="I353" s="3">
        <v>0</v>
      </c>
      <c r="J353" s="3">
        <v>0</v>
      </c>
      <c r="K353" s="3">
        <v>0</v>
      </c>
      <c r="L353" s="3">
        <v>0</v>
      </c>
      <c r="M353" s="3">
        <v>0</v>
      </c>
      <c r="N353" s="3">
        <v>0</v>
      </c>
      <c r="O353" s="4">
        <f t="shared" si="5"/>
        <v>0</v>
      </c>
    </row>
    <row r="354" spans="1:15" x14ac:dyDescent="0.2">
      <c r="A354" t="s">
        <v>385</v>
      </c>
      <c r="B354" t="s">
        <v>386</v>
      </c>
      <c r="C354" t="s">
        <v>12</v>
      </c>
      <c r="D354" t="s">
        <v>401</v>
      </c>
      <c r="E354" s="1">
        <v>2700</v>
      </c>
      <c r="F354" s="2">
        <v>0</v>
      </c>
      <c r="G354" s="6">
        <v>1E-4</v>
      </c>
      <c r="H354" s="3">
        <v>0</v>
      </c>
      <c r="I354" s="3">
        <v>0</v>
      </c>
      <c r="J354" s="3">
        <v>0</v>
      </c>
      <c r="K354" s="3">
        <v>0</v>
      </c>
      <c r="L354" s="3">
        <v>0.72400000000000009</v>
      </c>
      <c r="M354" s="3">
        <v>0</v>
      </c>
      <c r="N354" s="3">
        <v>0</v>
      </c>
      <c r="O354" s="4">
        <f t="shared" si="5"/>
        <v>0</v>
      </c>
    </row>
    <row r="355" spans="1:15" x14ac:dyDescent="0.2">
      <c r="A355" t="s">
        <v>385</v>
      </c>
      <c r="B355" t="s">
        <v>386</v>
      </c>
      <c r="C355" t="s">
        <v>14</v>
      </c>
      <c r="D355" t="s">
        <v>402</v>
      </c>
      <c r="E355" s="1"/>
      <c r="F355" s="2"/>
      <c r="G355" s="6">
        <v>0</v>
      </c>
      <c r="H355" s="3"/>
      <c r="I355" s="3"/>
      <c r="J355" s="3"/>
      <c r="K355" s="3"/>
      <c r="L355" s="3"/>
      <c r="M355" s="3"/>
      <c r="N355" s="3"/>
      <c r="O355" s="4" t="str">
        <f t="shared" si="5"/>
        <v/>
      </c>
    </row>
    <row r="356" spans="1:15" x14ac:dyDescent="0.2">
      <c r="A356" t="s">
        <v>385</v>
      </c>
      <c r="B356" t="s">
        <v>386</v>
      </c>
      <c r="C356" t="s">
        <v>13</v>
      </c>
      <c r="D356" t="s">
        <v>386</v>
      </c>
      <c r="E356" s="1">
        <v>2900</v>
      </c>
      <c r="F356" s="2">
        <v>6.5</v>
      </c>
      <c r="G356" s="6">
        <v>2.69E-2</v>
      </c>
      <c r="H356" s="3"/>
      <c r="I356" s="3"/>
      <c r="J356" s="3"/>
      <c r="K356" s="3"/>
      <c r="L356" s="3"/>
      <c r="M356" s="3"/>
      <c r="N356" s="3"/>
      <c r="O356" s="4">
        <f t="shared" si="5"/>
        <v>2.2413793103448278</v>
      </c>
    </row>
    <row r="357" spans="1:15" x14ac:dyDescent="0.2">
      <c r="A357" t="s">
        <v>403</v>
      </c>
      <c r="B357" t="s">
        <v>404</v>
      </c>
      <c r="C357" t="s">
        <v>9</v>
      </c>
      <c r="D357" t="s">
        <v>405</v>
      </c>
      <c r="E357" s="1">
        <v>5600</v>
      </c>
      <c r="F357" s="2">
        <v>17.100000000000001</v>
      </c>
      <c r="G357" s="6">
        <v>3.1099999999999999E-2</v>
      </c>
      <c r="H357" s="3">
        <v>0.191</v>
      </c>
      <c r="I357" s="3">
        <v>0.25600000000000001</v>
      </c>
      <c r="J357" s="3">
        <v>0</v>
      </c>
      <c r="K357" s="3">
        <v>0</v>
      </c>
      <c r="L357" s="3">
        <v>0</v>
      </c>
      <c r="M357" s="3">
        <v>1</v>
      </c>
      <c r="N357" s="3">
        <v>1.9E-2</v>
      </c>
      <c r="O357" s="4">
        <f t="shared" si="5"/>
        <v>3.0535714285714288</v>
      </c>
    </row>
    <row r="358" spans="1:15" x14ac:dyDescent="0.2">
      <c r="A358" t="s">
        <v>403</v>
      </c>
      <c r="B358" t="s">
        <v>404</v>
      </c>
      <c r="C358" t="s">
        <v>9</v>
      </c>
      <c r="D358" t="s">
        <v>406</v>
      </c>
      <c r="E358" s="1">
        <v>4000</v>
      </c>
      <c r="F358" s="2">
        <v>0</v>
      </c>
      <c r="G358" s="6">
        <v>0</v>
      </c>
      <c r="H358" s="3">
        <v>0</v>
      </c>
      <c r="I358" s="3">
        <v>0</v>
      </c>
      <c r="J358" s="3">
        <v>0</v>
      </c>
      <c r="K358" s="3">
        <v>0</v>
      </c>
      <c r="L358" s="3">
        <v>0</v>
      </c>
      <c r="M358" s="3">
        <v>0</v>
      </c>
      <c r="N358" s="3">
        <v>0</v>
      </c>
      <c r="O358" s="4">
        <f t="shared" si="5"/>
        <v>0</v>
      </c>
    </row>
    <row r="359" spans="1:15" x14ac:dyDescent="0.2">
      <c r="A359" t="s">
        <v>403</v>
      </c>
      <c r="B359" t="s">
        <v>404</v>
      </c>
      <c r="C359" t="s">
        <v>9</v>
      </c>
      <c r="D359" t="s">
        <v>407</v>
      </c>
      <c r="E359" s="1">
        <v>4000</v>
      </c>
      <c r="F359" s="2">
        <v>0</v>
      </c>
      <c r="G359" s="6">
        <v>0</v>
      </c>
      <c r="H359" s="3">
        <v>0</v>
      </c>
      <c r="I359" s="3">
        <v>0</v>
      </c>
      <c r="J359" s="3">
        <v>0</v>
      </c>
      <c r="K359" s="3">
        <v>0</v>
      </c>
      <c r="L359" s="3">
        <v>0</v>
      </c>
      <c r="M359" s="3">
        <v>0</v>
      </c>
      <c r="N359" s="3">
        <v>0</v>
      </c>
      <c r="O359" s="4">
        <f t="shared" si="5"/>
        <v>0</v>
      </c>
    </row>
    <row r="360" spans="1:15" x14ac:dyDescent="0.2">
      <c r="A360" t="s">
        <v>403</v>
      </c>
      <c r="B360" t="s">
        <v>404</v>
      </c>
      <c r="C360" t="s">
        <v>10</v>
      </c>
      <c r="D360" t="s">
        <v>408</v>
      </c>
      <c r="E360" s="1">
        <v>5900</v>
      </c>
      <c r="F360" s="2">
        <v>13.8</v>
      </c>
      <c r="G360" s="6">
        <v>4.4299999999999999E-2</v>
      </c>
      <c r="H360" s="3">
        <v>0.60799999999999998</v>
      </c>
      <c r="I360" s="3">
        <v>0.53299999999999992</v>
      </c>
      <c r="J360" s="3">
        <v>9.5000000000000001E-2</v>
      </c>
      <c r="K360" s="3">
        <v>0.11599999999999999</v>
      </c>
      <c r="L360" s="3">
        <v>0.72799999999999998</v>
      </c>
      <c r="M360" s="3">
        <v>0</v>
      </c>
      <c r="N360" s="3">
        <v>0</v>
      </c>
      <c r="O360" s="4">
        <f t="shared" si="5"/>
        <v>2.3389830508474576</v>
      </c>
    </row>
    <row r="361" spans="1:15" x14ac:dyDescent="0.2">
      <c r="A361" t="s">
        <v>403</v>
      </c>
      <c r="B361" t="s">
        <v>404</v>
      </c>
      <c r="C361" t="s">
        <v>10</v>
      </c>
      <c r="D361" t="s">
        <v>409</v>
      </c>
      <c r="E361" s="1">
        <v>4900</v>
      </c>
      <c r="F361" s="2">
        <v>5.7</v>
      </c>
      <c r="G361" s="6">
        <v>0</v>
      </c>
      <c r="H361" s="3">
        <v>0.11900000000000001</v>
      </c>
      <c r="I361" s="3">
        <v>0.114</v>
      </c>
      <c r="J361" s="3">
        <v>0.1</v>
      </c>
      <c r="K361" s="3">
        <v>9.9000000000000005E-2</v>
      </c>
      <c r="L361" s="3">
        <v>0</v>
      </c>
      <c r="M361" s="3">
        <v>0</v>
      </c>
      <c r="N361" s="3">
        <v>0</v>
      </c>
      <c r="O361" s="4">
        <f t="shared" si="5"/>
        <v>1.1632653061224489</v>
      </c>
    </row>
    <row r="362" spans="1:15" x14ac:dyDescent="0.2">
      <c r="A362" t="s">
        <v>403</v>
      </c>
      <c r="B362" t="s">
        <v>404</v>
      </c>
      <c r="C362" t="s">
        <v>10</v>
      </c>
      <c r="D362" t="s">
        <v>410</v>
      </c>
      <c r="E362" s="1">
        <v>4000</v>
      </c>
      <c r="F362" s="2">
        <v>1.7</v>
      </c>
      <c r="G362" s="6">
        <v>2.9999999999999997E-4</v>
      </c>
      <c r="H362" s="3">
        <v>8.3000000000000004E-2</v>
      </c>
      <c r="I362" s="3">
        <v>8.1000000000000003E-2</v>
      </c>
      <c r="J362" s="3">
        <v>1.1000000000000001E-2</v>
      </c>
      <c r="K362" s="3">
        <v>4.0000000000000001E-3</v>
      </c>
      <c r="L362" s="3">
        <v>0.77800000000000002</v>
      </c>
      <c r="M362" s="3">
        <v>0</v>
      </c>
      <c r="N362" s="3">
        <v>0</v>
      </c>
      <c r="O362" s="4">
        <f t="shared" si="5"/>
        <v>0.42499999999999999</v>
      </c>
    </row>
    <row r="363" spans="1:15" x14ac:dyDescent="0.2">
      <c r="A363" t="s">
        <v>403</v>
      </c>
      <c r="B363" t="s">
        <v>404</v>
      </c>
      <c r="C363" t="s">
        <v>10</v>
      </c>
      <c r="D363" t="s">
        <v>411</v>
      </c>
      <c r="E363" s="1">
        <v>4000</v>
      </c>
      <c r="F363" s="2">
        <v>0</v>
      </c>
      <c r="G363" s="6">
        <v>4.0000000000000002E-4</v>
      </c>
      <c r="H363" s="3">
        <v>0</v>
      </c>
      <c r="I363" s="3">
        <v>0</v>
      </c>
      <c r="J363" s="3">
        <v>0</v>
      </c>
      <c r="K363" s="3">
        <v>0</v>
      </c>
      <c r="L363" s="3">
        <v>0.88200000000000001</v>
      </c>
      <c r="M363" s="3">
        <v>0</v>
      </c>
      <c r="N363" s="3">
        <v>0</v>
      </c>
      <c r="O363" s="4">
        <f t="shared" si="5"/>
        <v>0</v>
      </c>
    </row>
    <row r="364" spans="1:15" x14ac:dyDescent="0.2">
      <c r="A364" t="s">
        <v>403</v>
      </c>
      <c r="B364" t="s">
        <v>404</v>
      </c>
      <c r="C364" t="s">
        <v>11</v>
      </c>
      <c r="D364" t="s">
        <v>412</v>
      </c>
      <c r="E364" s="1">
        <v>6700</v>
      </c>
      <c r="F364" s="2">
        <v>14.7</v>
      </c>
      <c r="G364" s="6">
        <v>8.3900000000000002E-2</v>
      </c>
      <c r="H364" s="3">
        <v>0</v>
      </c>
      <c r="I364" s="3">
        <v>1E-3</v>
      </c>
      <c r="J364" s="3">
        <v>0.28399999999999997</v>
      </c>
      <c r="K364" s="3">
        <v>0.28899999999999998</v>
      </c>
      <c r="L364" s="3">
        <v>0.65799999999999992</v>
      </c>
      <c r="M364" s="3">
        <v>0</v>
      </c>
      <c r="N364" s="3">
        <v>0</v>
      </c>
      <c r="O364" s="4">
        <f t="shared" si="5"/>
        <v>2.1940298507462686</v>
      </c>
    </row>
    <row r="365" spans="1:15" x14ac:dyDescent="0.2">
      <c r="A365" t="s">
        <v>403</v>
      </c>
      <c r="B365" t="s">
        <v>404</v>
      </c>
      <c r="C365" t="s">
        <v>11</v>
      </c>
      <c r="D365" t="s">
        <v>413</v>
      </c>
      <c r="E365" s="1">
        <v>3500</v>
      </c>
      <c r="F365" s="2">
        <v>8.6999999999999993</v>
      </c>
      <c r="G365" s="6">
        <v>7.8000000000000005E-3</v>
      </c>
      <c r="H365" s="3">
        <v>0</v>
      </c>
      <c r="I365" s="3">
        <v>1E-3</v>
      </c>
      <c r="J365" s="3">
        <v>0.17300000000000001</v>
      </c>
      <c r="K365" s="3">
        <v>0.17399999999999999</v>
      </c>
      <c r="L365" s="3">
        <v>0.69400000000000006</v>
      </c>
      <c r="M365" s="3">
        <v>0</v>
      </c>
      <c r="N365" s="3">
        <v>0</v>
      </c>
      <c r="O365" s="4">
        <f t="shared" si="5"/>
        <v>2.4857142857142853</v>
      </c>
    </row>
    <row r="366" spans="1:15" x14ac:dyDescent="0.2">
      <c r="A366" t="s">
        <v>403</v>
      </c>
      <c r="B366" t="s">
        <v>404</v>
      </c>
      <c r="C366" t="s">
        <v>11</v>
      </c>
      <c r="D366" t="s">
        <v>414</v>
      </c>
      <c r="E366" s="1">
        <v>3100</v>
      </c>
      <c r="F366" s="2">
        <v>2.8</v>
      </c>
      <c r="G366" s="6">
        <v>4.6999999999999993E-3</v>
      </c>
      <c r="H366" s="3">
        <v>0</v>
      </c>
      <c r="I366" s="3">
        <v>1E-3</v>
      </c>
      <c r="J366" s="3">
        <v>5.0999999999999997E-2</v>
      </c>
      <c r="K366" s="3">
        <v>5.2999999999999999E-2</v>
      </c>
      <c r="L366" s="3">
        <v>0.63</v>
      </c>
      <c r="M366" s="3">
        <v>0</v>
      </c>
      <c r="N366" s="3">
        <v>0</v>
      </c>
      <c r="O366" s="4">
        <f t="shared" si="5"/>
        <v>0.90322580645161277</v>
      </c>
    </row>
    <row r="367" spans="1:15" x14ac:dyDescent="0.2">
      <c r="A367" t="s">
        <v>403</v>
      </c>
      <c r="B367" t="s">
        <v>404</v>
      </c>
      <c r="C367" t="s">
        <v>11</v>
      </c>
      <c r="D367" t="s">
        <v>415</v>
      </c>
      <c r="E367" s="1">
        <v>3000</v>
      </c>
      <c r="F367" s="2">
        <v>1.2</v>
      </c>
      <c r="G367" s="6">
        <v>8.9999999999999998E-4</v>
      </c>
      <c r="H367" s="3">
        <v>0</v>
      </c>
      <c r="I367" s="3">
        <v>1E-3</v>
      </c>
      <c r="J367" s="3">
        <v>2.2000000000000002E-2</v>
      </c>
      <c r="K367" s="3">
        <v>0.02</v>
      </c>
      <c r="L367" s="3">
        <v>0.63</v>
      </c>
      <c r="M367" s="3">
        <v>0</v>
      </c>
      <c r="N367" s="3">
        <v>0</v>
      </c>
      <c r="O367" s="4">
        <f t="shared" si="5"/>
        <v>0.39999999999999997</v>
      </c>
    </row>
    <row r="368" spans="1:15" x14ac:dyDescent="0.2">
      <c r="A368" t="s">
        <v>403</v>
      </c>
      <c r="B368" t="s">
        <v>404</v>
      </c>
      <c r="C368" t="s">
        <v>11</v>
      </c>
      <c r="D368" t="s">
        <v>416</v>
      </c>
      <c r="E368" s="1">
        <v>3000</v>
      </c>
      <c r="F368" s="2">
        <v>0</v>
      </c>
      <c r="G368" s="6">
        <v>0</v>
      </c>
      <c r="H368" s="3">
        <v>0</v>
      </c>
      <c r="I368" s="3">
        <v>0</v>
      </c>
      <c r="J368" s="3">
        <v>0</v>
      </c>
      <c r="K368" s="3">
        <v>0</v>
      </c>
      <c r="L368" s="3">
        <v>0</v>
      </c>
      <c r="M368" s="3">
        <v>0</v>
      </c>
      <c r="N368" s="3">
        <v>0</v>
      </c>
      <c r="O368" s="4">
        <f t="shared" si="5"/>
        <v>0</v>
      </c>
    </row>
    <row r="369" spans="1:15" x14ac:dyDescent="0.2">
      <c r="A369" t="s">
        <v>403</v>
      </c>
      <c r="B369" t="s">
        <v>404</v>
      </c>
      <c r="C369" t="s">
        <v>12</v>
      </c>
      <c r="D369" t="s">
        <v>417</v>
      </c>
      <c r="E369" s="1">
        <v>3700</v>
      </c>
      <c r="F369" s="2">
        <v>10.6</v>
      </c>
      <c r="G369" s="6">
        <v>4.87E-2</v>
      </c>
      <c r="H369" s="3">
        <v>0</v>
      </c>
      <c r="I369" s="3">
        <v>1E-3</v>
      </c>
      <c r="J369" s="3">
        <v>0.20300000000000001</v>
      </c>
      <c r="K369" s="3">
        <v>0.188</v>
      </c>
      <c r="L369" s="3">
        <v>0.754</v>
      </c>
      <c r="M369" s="3">
        <v>0</v>
      </c>
      <c r="N369" s="3">
        <v>0</v>
      </c>
      <c r="O369" s="4">
        <f t="shared" si="5"/>
        <v>2.8648648648648645</v>
      </c>
    </row>
    <row r="370" spans="1:15" x14ac:dyDescent="0.2">
      <c r="A370" t="s">
        <v>403</v>
      </c>
      <c r="B370" t="s">
        <v>404</v>
      </c>
      <c r="C370" t="s">
        <v>12</v>
      </c>
      <c r="D370" t="s">
        <v>418</v>
      </c>
      <c r="E370" s="1">
        <v>3200</v>
      </c>
      <c r="F370" s="2">
        <v>3.4</v>
      </c>
      <c r="G370" s="6">
        <v>5.0000000000000001E-4</v>
      </c>
      <c r="H370" s="3">
        <v>0</v>
      </c>
      <c r="I370" s="3">
        <v>1E-3</v>
      </c>
      <c r="J370" s="3">
        <v>6.2E-2</v>
      </c>
      <c r="K370" s="3">
        <v>5.7000000000000002E-2</v>
      </c>
      <c r="L370" s="3">
        <v>0.77500000000000002</v>
      </c>
      <c r="M370" s="3">
        <v>0</v>
      </c>
      <c r="N370" s="3">
        <v>0</v>
      </c>
      <c r="O370" s="4">
        <f t="shared" si="5"/>
        <v>1.0625</v>
      </c>
    </row>
    <row r="371" spans="1:15" x14ac:dyDescent="0.2">
      <c r="A371" t="s">
        <v>403</v>
      </c>
      <c r="B371" t="s">
        <v>404</v>
      </c>
      <c r="C371" t="s">
        <v>12</v>
      </c>
      <c r="D371" t="s">
        <v>419</v>
      </c>
      <c r="E371" s="1">
        <v>2700</v>
      </c>
      <c r="F371" s="2">
        <v>0</v>
      </c>
      <c r="G371" s="6">
        <v>1E-4</v>
      </c>
      <c r="H371" s="3">
        <v>0</v>
      </c>
      <c r="I371" s="3">
        <v>0</v>
      </c>
      <c r="J371" s="3">
        <v>0</v>
      </c>
      <c r="K371" s="3">
        <v>0</v>
      </c>
      <c r="L371" s="3">
        <v>0.72400000000000009</v>
      </c>
      <c r="M371" s="3">
        <v>0</v>
      </c>
      <c r="N371" s="3">
        <v>0</v>
      </c>
      <c r="O371" s="4">
        <f t="shared" si="5"/>
        <v>0</v>
      </c>
    </row>
    <row r="372" spans="1:15" x14ac:dyDescent="0.2">
      <c r="A372" t="s">
        <v>403</v>
      </c>
      <c r="B372" t="s">
        <v>404</v>
      </c>
      <c r="C372" t="s">
        <v>14</v>
      </c>
      <c r="D372" t="s">
        <v>420</v>
      </c>
      <c r="E372" s="1"/>
      <c r="F372" s="2"/>
      <c r="G372" s="6">
        <v>0</v>
      </c>
      <c r="H372" s="3"/>
      <c r="I372" s="3"/>
      <c r="J372" s="3"/>
      <c r="K372" s="3"/>
      <c r="L372" s="3"/>
      <c r="M372" s="3"/>
      <c r="N372" s="3"/>
      <c r="O372" s="4" t="str">
        <f t="shared" si="5"/>
        <v/>
      </c>
    </row>
    <row r="373" spans="1:15" x14ac:dyDescent="0.2">
      <c r="A373" t="s">
        <v>403</v>
      </c>
      <c r="B373" t="s">
        <v>404</v>
      </c>
      <c r="C373" t="s">
        <v>13</v>
      </c>
      <c r="D373" t="s">
        <v>404</v>
      </c>
      <c r="E373" s="1">
        <v>2200</v>
      </c>
      <c r="F373" s="2">
        <v>5.2</v>
      </c>
      <c r="G373" s="6">
        <v>2.4300000000000002E-2</v>
      </c>
      <c r="H373" s="3"/>
      <c r="I373" s="3"/>
      <c r="J373" s="3"/>
      <c r="K373" s="3"/>
      <c r="L373" s="3"/>
      <c r="M373" s="3"/>
      <c r="N373" s="3"/>
      <c r="O373" s="4">
        <f t="shared" si="5"/>
        <v>2.3636363636363633</v>
      </c>
    </row>
    <row r="374" spans="1:15" x14ac:dyDescent="0.2">
      <c r="A374" t="s">
        <v>421</v>
      </c>
      <c r="B374" t="s">
        <v>422</v>
      </c>
      <c r="C374" t="s">
        <v>9</v>
      </c>
      <c r="D374" t="s">
        <v>423</v>
      </c>
      <c r="E374" s="1">
        <v>6000</v>
      </c>
      <c r="F374" s="2">
        <v>16.7</v>
      </c>
      <c r="G374" s="6">
        <v>7.0800000000000002E-2</v>
      </c>
      <c r="H374" s="3">
        <v>5.2000000000000005E-2</v>
      </c>
      <c r="I374" s="3">
        <v>4.4000000000000004E-2</v>
      </c>
      <c r="J374" s="3">
        <v>0</v>
      </c>
      <c r="K374" s="3">
        <v>0</v>
      </c>
      <c r="L374" s="3">
        <v>0</v>
      </c>
      <c r="M374" s="3">
        <v>1</v>
      </c>
      <c r="N374" s="3">
        <v>1.8000000000000002E-2</v>
      </c>
      <c r="O374" s="4">
        <f t="shared" si="5"/>
        <v>2.7833333333333332</v>
      </c>
    </row>
    <row r="375" spans="1:15" x14ac:dyDescent="0.2">
      <c r="A375" t="s">
        <v>421</v>
      </c>
      <c r="B375" t="s">
        <v>422</v>
      </c>
      <c r="C375" t="s">
        <v>9</v>
      </c>
      <c r="D375" t="s">
        <v>424</v>
      </c>
      <c r="E375" s="1">
        <v>4000</v>
      </c>
      <c r="F375" s="2">
        <v>0</v>
      </c>
      <c r="G375" s="6">
        <v>0</v>
      </c>
      <c r="H375" s="3">
        <v>0</v>
      </c>
      <c r="I375" s="3">
        <v>0</v>
      </c>
      <c r="J375" s="3">
        <v>0</v>
      </c>
      <c r="K375" s="3">
        <v>0</v>
      </c>
      <c r="L375" s="3">
        <v>0</v>
      </c>
      <c r="M375" s="3">
        <v>0</v>
      </c>
      <c r="N375" s="3">
        <v>0</v>
      </c>
      <c r="O375" s="4">
        <f t="shared" si="5"/>
        <v>0</v>
      </c>
    </row>
    <row r="376" spans="1:15" x14ac:dyDescent="0.2">
      <c r="A376" t="s">
        <v>421</v>
      </c>
      <c r="B376" t="s">
        <v>422</v>
      </c>
      <c r="C376" t="s">
        <v>10</v>
      </c>
      <c r="D376" t="s">
        <v>425</v>
      </c>
      <c r="E376" s="1">
        <v>8000</v>
      </c>
      <c r="F376" s="2">
        <v>25.7</v>
      </c>
      <c r="G376" s="6">
        <v>0.27</v>
      </c>
      <c r="H376" s="3">
        <v>0.80200000000000005</v>
      </c>
      <c r="I376" s="3">
        <v>0.92599999999999993</v>
      </c>
      <c r="J376" s="3">
        <v>0.16899999999999998</v>
      </c>
      <c r="K376" s="3">
        <v>0.14199999999999999</v>
      </c>
      <c r="L376" s="3">
        <v>0.81900000000000006</v>
      </c>
      <c r="M376" s="3">
        <v>0</v>
      </c>
      <c r="N376" s="3">
        <v>0</v>
      </c>
      <c r="O376" s="4">
        <f t="shared" si="5"/>
        <v>3.2124999999999999</v>
      </c>
    </row>
    <row r="377" spans="1:15" x14ac:dyDescent="0.2">
      <c r="A377" t="s">
        <v>421</v>
      </c>
      <c r="B377" t="s">
        <v>422</v>
      </c>
      <c r="C377" t="s">
        <v>10</v>
      </c>
      <c r="D377" t="s">
        <v>426</v>
      </c>
      <c r="E377" s="1">
        <v>4000</v>
      </c>
      <c r="F377" s="2">
        <v>3</v>
      </c>
      <c r="G377" s="6">
        <v>1E-4</v>
      </c>
      <c r="H377" s="3">
        <v>9.8000000000000004E-2</v>
      </c>
      <c r="I377" s="3">
        <v>0</v>
      </c>
      <c r="J377" s="3">
        <v>3.7999999999999999E-2</v>
      </c>
      <c r="K377" s="3">
        <v>1.6E-2</v>
      </c>
      <c r="L377" s="3">
        <v>0.78700000000000003</v>
      </c>
      <c r="M377" s="3">
        <v>0</v>
      </c>
      <c r="N377" s="3">
        <v>0</v>
      </c>
      <c r="O377" s="4">
        <f t="shared" si="5"/>
        <v>0.75</v>
      </c>
    </row>
    <row r="378" spans="1:15" x14ac:dyDescent="0.2">
      <c r="A378" t="s">
        <v>421</v>
      </c>
      <c r="B378" t="s">
        <v>422</v>
      </c>
      <c r="C378" t="s">
        <v>10</v>
      </c>
      <c r="D378" t="s">
        <v>427</v>
      </c>
      <c r="E378" s="1">
        <v>4000</v>
      </c>
      <c r="F378" s="2">
        <v>0.6</v>
      </c>
      <c r="G378" s="6">
        <v>1E-4</v>
      </c>
      <c r="H378" s="3">
        <v>1.8000000000000002E-2</v>
      </c>
      <c r="I378" s="3">
        <v>1.4999999999999999E-2</v>
      </c>
      <c r="J378" s="3">
        <v>6.0000000000000001E-3</v>
      </c>
      <c r="K378" s="3">
        <v>3.0000000000000001E-3</v>
      </c>
      <c r="L378" s="3">
        <v>0.83</v>
      </c>
      <c r="M378" s="3">
        <v>0</v>
      </c>
      <c r="N378" s="3">
        <v>0</v>
      </c>
      <c r="O378" s="4">
        <f t="shared" si="5"/>
        <v>0.15</v>
      </c>
    </row>
    <row r="379" spans="1:15" x14ac:dyDescent="0.2">
      <c r="A379" t="s">
        <v>421</v>
      </c>
      <c r="B379" t="s">
        <v>422</v>
      </c>
      <c r="C379" t="s">
        <v>11</v>
      </c>
      <c r="D379" t="s">
        <v>428</v>
      </c>
      <c r="E379" s="1">
        <v>7500</v>
      </c>
      <c r="F379" s="2">
        <v>15.8</v>
      </c>
      <c r="G379" s="6">
        <v>0.21559999999999999</v>
      </c>
      <c r="H379" s="3">
        <v>1.1000000000000001E-2</v>
      </c>
      <c r="I379" s="3">
        <v>0</v>
      </c>
      <c r="J379" s="3">
        <v>0.26800000000000002</v>
      </c>
      <c r="K379" s="3">
        <v>0.316</v>
      </c>
      <c r="L379" s="3">
        <v>0.73699999999999999</v>
      </c>
      <c r="M379" s="3">
        <v>0</v>
      </c>
      <c r="N379" s="3">
        <v>0</v>
      </c>
      <c r="O379" s="4">
        <f t="shared" si="5"/>
        <v>2.1066666666666669</v>
      </c>
    </row>
    <row r="380" spans="1:15" x14ac:dyDescent="0.2">
      <c r="A380" t="s">
        <v>421</v>
      </c>
      <c r="B380" t="s">
        <v>422</v>
      </c>
      <c r="C380" t="s">
        <v>11</v>
      </c>
      <c r="D380" t="s">
        <v>429</v>
      </c>
      <c r="E380" s="1">
        <v>6000</v>
      </c>
      <c r="F380" s="2">
        <v>12.8</v>
      </c>
      <c r="G380" s="6">
        <v>0.1197</v>
      </c>
      <c r="H380" s="3">
        <v>1.8000000000000002E-2</v>
      </c>
      <c r="I380" s="3">
        <v>1.6E-2</v>
      </c>
      <c r="J380" s="3">
        <v>0.19500000000000001</v>
      </c>
      <c r="K380" s="3">
        <v>0.20699999999999999</v>
      </c>
      <c r="L380" s="3">
        <v>0.63700000000000001</v>
      </c>
      <c r="M380" s="3">
        <v>0</v>
      </c>
      <c r="N380" s="3">
        <v>0</v>
      </c>
      <c r="O380" s="4">
        <f t="shared" si="5"/>
        <v>2.1333333333333333</v>
      </c>
    </row>
    <row r="381" spans="1:15" x14ac:dyDescent="0.2">
      <c r="A381" t="s">
        <v>421</v>
      </c>
      <c r="B381" t="s">
        <v>422</v>
      </c>
      <c r="C381" t="s">
        <v>11</v>
      </c>
      <c r="D381" t="s">
        <v>430</v>
      </c>
      <c r="E381" s="1">
        <v>3900</v>
      </c>
      <c r="F381" s="2">
        <v>5.4</v>
      </c>
      <c r="G381" s="6">
        <v>3.8E-3</v>
      </c>
      <c r="H381" s="3">
        <v>0</v>
      </c>
      <c r="I381" s="3">
        <v>0</v>
      </c>
      <c r="J381" s="3">
        <v>9.6000000000000002E-2</v>
      </c>
      <c r="K381" s="3">
        <v>0.11199999999999999</v>
      </c>
      <c r="L381" s="3">
        <v>0.60399999999999998</v>
      </c>
      <c r="M381" s="3">
        <v>0</v>
      </c>
      <c r="N381" s="3">
        <v>0</v>
      </c>
      <c r="O381" s="4">
        <f t="shared" si="5"/>
        <v>1.3846153846153848</v>
      </c>
    </row>
    <row r="382" spans="1:15" x14ac:dyDescent="0.2">
      <c r="A382" t="s">
        <v>421</v>
      </c>
      <c r="B382" t="s">
        <v>422</v>
      </c>
      <c r="C382" t="s">
        <v>11</v>
      </c>
      <c r="D382" t="s">
        <v>431</v>
      </c>
      <c r="E382" s="1">
        <v>3000</v>
      </c>
      <c r="F382" s="2">
        <v>1</v>
      </c>
      <c r="G382" s="6">
        <v>5.9999999999999995E-4</v>
      </c>
      <c r="H382" s="3">
        <v>0</v>
      </c>
      <c r="I382" s="3">
        <v>0</v>
      </c>
      <c r="J382" s="3">
        <v>1.9E-2</v>
      </c>
      <c r="K382" s="3">
        <v>0.01</v>
      </c>
      <c r="L382" s="3">
        <v>0.66</v>
      </c>
      <c r="M382" s="3">
        <v>0</v>
      </c>
      <c r="N382" s="3">
        <v>0</v>
      </c>
      <c r="O382" s="4">
        <f t="shared" si="5"/>
        <v>0.33333333333333331</v>
      </c>
    </row>
    <row r="383" spans="1:15" x14ac:dyDescent="0.2">
      <c r="A383" t="s">
        <v>421</v>
      </c>
      <c r="B383" t="s">
        <v>422</v>
      </c>
      <c r="C383" t="s">
        <v>12</v>
      </c>
      <c r="D383" t="s">
        <v>432</v>
      </c>
      <c r="E383" s="1">
        <v>4400</v>
      </c>
      <c r="F383" s="2">
        <v>9.8000000000000007</v>
      </c>
      <c r="G383" s="6">
        <v>7.2300000000000003E-2</v>
      </c>
      <c r="H383" s="3">
        <v>0</v>
      </c>
      <c r="I383" s="3">
        <v>0</v>
      </c>
      <c r="J383" s="3">
        <v>0.16899999999999998</v>
      </c>
      <c r="K383" s="3">
        <v>0.17600000000000002</v>
      </c>
      <c r="L383" s="3">
        <v>0.755</v>
      </c>
      <c r="M383" s="3">
        <v>0</v>
      </c>
      <c r="N383" s="3">
        <v>0</v>
      </c>
      <c r="O383" s="4">
        <f t="shared" si="5"/>
        <v>2.2272727272727271</v>
      </c>
    </row>
    <row r="384" spans="1:15" x14ac:dyDescent="0.2">
      <c r="A384" t="s">
        <v>421</v>
      </c>
      <c r="B384" t="s">
        <v>422</v>
      </c>
      <c r="C384" t="s">
        <v>12</v>
      </c>
      <c r="D384" t="s">
        <v>433</v>
      </c>
      <c r="E384" s="1">
        <v>2500</v>
      </c>
      <c r="F384" s="2">
        <v>0.9</v>
      </c>
      <c r="G384" s="6">
        <v>0</v>
      </c>
      <c r="H384" s="3">
        <v>0</v>
      </c>
      <c r="I384" s="3">
        <v>0</v>
      </c>
      <c r="J384" s="3">
        <v>1.9E-2</v>
      </c>
      <c r="K384" s="3">
        <v>0</v>
      </c>
      <c r="L384" s="3">
        <v>0</v>
      </c>
      <c r="M384" s="3">
        <v>0</v>
      </c>
      <c r="N384" s="3">
        <v>0</v>
      </c>
      <c r="O384" s="4">
        <f t="shared" si="5"/>
        <v>0.36</v>
      </c>
    </row>
    <row r="385" spans="1:15" x14ac:dyDescent="0.2">
      <c r="A385" t="s">
        <v>421</v>
      </c>
      <c r="B385" t="s">
        <v>422</v>
      </c>
      <c r="C385" t="s">
        <v>12</v>
      </c>
      <c r="D385" t="s">
        <v>434</v>
      </c>
      <c r="E385" s="1">
        <v>2900</v>
      </c>
      <c r="F385" s="2">
        <v>1.1000000000000001</v>
      </c>
      <c r="G385" s="6">
        <v>8.0000000000000004E-4</v>
      </c>
      <c r="H385" s="3">
        <v>0</v>
      </c>
      <c r="I385" s="3">
        <v>0</v>
      </c>
      <c r="J385" s="3">
        <v>1.9E-2</v>
      </c>
      <c r="K385" s="3">
        <v>1.8000000000000002E-2</v>
      </c>
      <c r="L385" s="3">
        <v>0.71400000000000008</v>
      </c>
      <c r="M385" s="3">
        <v>0</v>
      </c>
      <c r="N385" s="3">
        <v>0</v>
      </c>
      <c r="O385" s="4">
        <f t="shared" si="5"/>
        <v>0.37931034482758624</v>
      </c>
    </row>
    <row r="386" spans="1:15" x14ac:dyDescent="0.2">
      <c r="A386" t="s">
        <v>421</v>
      </c>
      <c r="B386" t="s">
        <v>422</v>
      </c>
      <c r="C386" t="s">
        <v>12</v>
      </c>
      <c r="D386" t="s">
        <v>435</v>
      </c>
      <c r="E386" s="1">
        <v>3000</v>
      </c>
      <c r="F386" s="2">
        <v>0</v>
      </c>
      <c r="G386" s="6">
        <v>1E-4</v>
      </c>
      <c r="H386" s="3">
        <v>0</v>
      </c>
      <c r="I386" s="3">
        <v>0</v>
      </c>
      <c r="J386" s="3">
        <v>0</v>
      </c>
      <c r="K386" s="3">
        <v>0</v>
      </c>
      <c r="L386" s="3">
        <v>0.72400000000000009</v>
      </c>
      <c r="M386" s="3">
        <v>0</v>
      </c>
      <c r="N386" s="3">
        <v>0</v>
      </c>
      <c r="O386" s="4">
        <f t="shared" si="5"/>
        <v>0</v>
      </c>
    </row>
    <row r="387" spans="1:15" x14ac:dyDescent="0.2">
      <c r="A387" t="s">
        <v>421</v>
      </c>
      <c r="B387" t="s">
        <v>422</v>
      </c>
      <c r="C387" t="s">
        <v>14</v>
      </c>
      <c r="D387" t="s">
        <v>436</v>
      </c>
      <c r="E387" s="1"/>
      <c r="F387" s="2"/>
      <c r="G387" s="6">
        <v>0</v>
      </c>
      <c r="H387" s="3"/>
      <c r="I387" s="3"/>
      <c r="J387" s="3"/>
      <c r="K387" s="3"/>
      <c r="L387" s="3"/>
      <c r="M387" s="3"/>
      <c r="N387" s="3"/>
      <c r="O387" s="4" t="str">
        <f t="shared" ref="O387:O422" si="6">IFERROR(F387/(E387/1000),"")</f>
        <v/>
      </c>
    </row>
    <row r="388" spans="1:15" x14ac:dyDescent="0.2">
      <c r="A388" t="s">
        <v>421</v>
      </c>
      <c r="B388" t="s">
        <v>422</v>
      </c>
      <c r="C388" t="s">
        <v>13</v>
      </c>
      <c r="D388" t="s">
        <v>422</v>
      </c>
      <c r="E388" s="1">
        <v>3200</v>
      </c>
      <c r="F388" s="2">
        <v>7.1</v>
      </c>
      <c r="G388" s="6">
        <v>6.1200000000000004E-2</v>
      </c>
      <c r="H388" s="3"/>
      <c r="I388" s="3"/>
      <c r="J388" s="3"/>
      <c r="K388" s="3"/>
      <c r="L388" s="3"/>
      <c r="M388" s="3"/>
      <c r="N388" s="3"/>
      <c r="O388" s="4">
        <f t="shared" si="6"/>
        <v>2.2187499999999996</v>
      </c>
    </row>
    <row r="389" spans="1:15" x14ac:dyDescent="0.2">
      <c r="A389" t="s">
        <v>59</v>
      </c>
      <c r="B389" t="s">
        <v>60</v>
      </c>
      <c r="C389" t="s">
        <v>9</v>
      </c>
      <c r="D389" t="s">
        <v>437</v>
      </c>
      <c r="E389" s="1">
        <v>5900</v>
      </c>
      <c r="F389" s="2">
        <v>16.399999999999999</v>
      </c>
      <c r="G389" s="6">
        <v>5.1699999999999996E-2</v>
      </c>
      <c r="H389" s="3">
        <v>0.12300000000000001</v>
      </c>
      <c r="I389" s="3">
        <v>0.14400000000000002</v>
      </c>
      <c r="J389" s="3">
        <v>0</v>
      </c>
      <c r="K389" s="3">
        <v>0</v>
      </c>
      <c r="L389" s="3">
        <v>0</v>
      </c>
      <c r="M389" s="3">
        <v>1</v>
      </c>
      <c r="N389" s="3">
        <v>2.1000000000000001E-2</v>
      </c>
      <c r="O389" s="4">
        <f t="shared" si="6"/>
        <v>2.7796610169491522</v>
      </c>
    </row>
    <row r="390" spans="1:15" x14ac:dyDescent="0.2">
      <c r="A390" t="s">
        <v>59</v>
      </c>
      <c r="B390" t="s">
        <v>60</v>
      </c>
      <c r="C390" t="s">
        <v>9</v>
      </c>
      <c r="D390" t="s">
        <v>438</v>
      </c>
      <c r="E390" s="1">
        <v>4000</v>
      </c>
      <c r="F390" s="2">
        <v>0</v>
      </c>
      <c r="G390" s="6">
        <v>0</v>
      </c>
      <c r="H390" s="3">
        <v>0</v>
      </c>
      <c r="I390" s="3">
        <v>0</v>
      </c>
      <c r="J390" s="3">
        <v>0</v>
      </c>
      <c r="K390" s="3">
        <v>0</v>
      </c>
      <c r="L390" s="3">
        <v>0</v>
      </c>
      <c r="M390" s="3">
        <v>0</v>
      </c>
      <c r="N390" s="3">
        <v>0</v>
      </c>
      <c r="O390" s="4">
        <f t="shared" si="6"/>
        <v>0</v>
      </c>
    </row>
    <row r="391" spans="1:15" x14ac:dyDescent="0.2">
      <c r="A391" t="s">
        <v>59</v>
      </c>
      <c r="B391" t="s">
        <v>60</v>
      </c>
      <c r="C391" t="s">
        <v>10</v>
      </c>
      <c r="D391" t="s">
        <v>439</v>
      </c>
      <c r="E391" s="1">
        <v>5700</v>
      </c>
      <c r="F391" s="2">
        <v>15.3</v>
      </c>
      <c r="G391" s="6">
        <v>8.199999999999999E-2</v>
      </c>
      <c r="H391" s="3">
        <v>0.58399999999999996</v>
      </c>
      <c r="I391" s="3">
        <v>0.502</v>
      </c>
      <c r="J391" s="3">
        <v>0.109</v>
      </c>
      <c r="K391" s="3">
        <v>5.9000000000000004E-2</v>
      </c>
      <c r="L391" s="3">
        <v>0.873</v>
      </c>
      <c r="M391" s="3">
        <v>0</v>
      </c>
      <c r="N391" s="3">
        <v>0</v>
      </c>
      <c r="O391" s="4">
        <f t="shared" si="6"/>
        <v>2.6842105263157894</v>
      </c>
    </row>
    <row r="392" spans="1:15" x14ac:dyDescent="0.2">
      <c r="A392" t="s">
        <v>59</v>
      </c>
      <c r="B392" t="s">
        <v>60</v>
      </c>
      <c r="C392" t="s">
        <v>10</v>
      </c>
      <c r="D392" t="s">
        <v>440</v>
      </c>
      <c r="E392" s="1">
        <v>5200</v>
      </c>
      <c r="F392" s="2">
        <v>9.6999999999999993</v>
      </c>
      <c r="G392" s="6">
        <v>8.199999999999999E-3</v>
      </c>
      <c r="H392" s="3">
        <v>0.19</v>
      </c>
      <c r="I392" s="3">
        <v>0.218</v>
      </c>
      <c r="J392" s="3">
        <v>0.153</v>
      </c>
      <c r="K392" s="3">
        <v>7.8E-2</v>
      </c>
      <c r="L392" s="3">
        <v>0.82700000000000007</v>
      </c>
      <c r="M392" s="3">
        <v>0</v>
      </c>
      <c r="N392" s="3">
        <v>0</v>
      </c>
      <c r="O392" s="4">
        <f t="shared" si="6"/>
        <v>1.8653846153846152</v>
      </c>
    </row>
    <row r="393" spans="1:15" x14ac:dyDescent="0.2">
      <c r="A393" t="s">
        <v>59</v>
      </c>
      <c r="B393" t="s">
        <v>60</v>
      </c>
      <c r="C393" t="s">
        <v>10</v>
      </c>
      <c r="D393" t="s">
        <v>441</v>
      </c>
      <c r="E393" s="1">
        <v>4700</v>
      </c>
      <c r="F393" s="2">
        <v>1.6</v>
      </c>
      <c r="G393" s="6">
        <v>6.3E-3</v>
      </c>
      <c r="H393" s="3">
        <v>6.0999999999999999E-2</v>
      </c>
      <c r="I393" s="3">
        <v>9.3000000000000013E-2</v>
      </c>
      <c r="J393" s="3">
        <v>9.0000000000000011E-3</v>
      </c>
      <c r="K393" s="3">
        <v>6.0000000000000001E-3</v>
      </c>
      <c r="L393" s="3">
        <v>0.75599999999999989</v>
      </c>
      <c r="M393" s="3">
        <v>0</v>
      </c>
      <c r="N393" s="3">
        <v>0</v>
      </c>
      <c r="O393" s="4">
        <f t="shared" si="6"/>
        <v>0.34042553191489361</v>
      </c>
    </row>
    <row r="394" spans="1:15" x14ac:dyDescent="0.2">
      <c r="A394" t="s">
        <v>59</v>
      </c>
      <c r="B394" t="s">
        <v>60</v>
      </c>
      <c r="C394" t="s">
        <v>11</v>
      </c>
      <c r="D394" t="s">
        <v>442</v>
      </c>
      <c r="E394" s="1">
        <v>6200</v>
      </c>
      <c r="F394" s="2">
        <v>13.2</v>
      </c>
      <c r="G394" s="6">
        <v>0.1011</v>
      </c>
      <c r="H394" s="3">
        <v>1.1000000000000001E-2</v>
      </c>
      <c r="I394" s="3">
        <v>1.3000000000000001E-2</v>
      </c>
      <c r="J394" s="3">
        <v>0.24100000000000002</v>
      </c>
      <c r="K394" s="3">
        <v>0.29399999999999998</v>
      </c>
      <c r="L394" s="3">
        <v>0.50800000000000001</v>
      </c>
      <c r="M394" s="3">
        <v>0</v>
      </c>
      <c r="N394" s="3">
        <v>0</v>
      </c>
      <c r="O394" s="4">
        <f t="shared" si="6"/>
        <v>2.129032258064516</v>
      </c>
    </row>
    <row r="395" spans="1:15" x14ac:dyDescent="0.2">
      <c r="A395" t="s">
        <v>59</v>
      </c>
      <c r="B395" t="s">
        <v>60</v>
      </c>
      <c r="C395" t="s">
        <v>11</v>
      </c>
      <c r="D395" t="s">
        <v>443</v>
      </c>
      <c r="E395" s="1">
        <v>5200</v>
      </c>
      <c r="F395" s="2">
        <v>14</v>
      </c>
      <c r="G395" s="6">
        <v>7.6999999999999999E-2</v>
      </c>
      <c r="H395" s="3">
        <v>0</v>
      </c>
      <c r="I395" s="3">
        <v>0</v>
      </c>
      <c r="J395" s="3">
        <v>0.23100000000000001</v>
      </c>
      <c r="K395" s="3">
        <v>0.27399999999999997</v>
      </c>
      <c r="L395" s="3">
        <v>0.72499999999999998</v>
      </c>
      <c r="M395" s="3">
        <v>0</v>
      </c>
      <c r="N395" s="3">
        <v>0</v>
      </c>
      <c r="O395" s="4">
        <f t="shared" si="6"/>
        <v>2.6923076923076921</v>
      </c>
    </row>
    <row r="396" spans="1:15" x14ac:dyDescent="0.2">
      <c r="A396" t="s">
        <v>59</v>
      </c>
      <c r="B396" t="s">
        <v>60</v>
      </c>
      <c r="C396" t="s">
        <v>11</v>
      </c>
      <c r="D396" t="s">
        <v>444</v>
      </c>
      <c r="E396" s="1">
        <v>3300</v>
      </c>
      <c r="F396" s="2">
        <v>5.0999999999999996</v>
      </c>
      <c r="G396" s="6">
        <v>3.9000000000000003E-3</v>
      </c>
      <c r="H396" s="3">
        <v>0</v>
      </c>
      <c r="I396" s="3">
        <v>0</v>
      </c>
      <c r="J396" s="3">
        <v>9.0999999999999998E-2</v>
      </c>
      <c r="K396" s="3">
        <v>0.11</v>
      </c>
      <c r="L396" s="3">
        <v>0.63</v>
      </c>
      <c r="M396" s="3">
        <v>0</v>
      </c>
      <c r="N396" s="3">
        <v>0</v>
      </c>
      <c r="O396" s="4">
        <f t="shared" si="6"/>
        <v>1.5454545454545454</v>
      </c>
    </row>
    <row r="397" spans="1:15" x14ac:dyDescent="0.2">
      <c r="A397" t="s">
        <v>59</v>
      </c>
      <c r="B397" t="s">
        <v>60</v>
      </c>
      <c r="C397" t="s">
        <v>11</v>
      </c>
      <c r="D397" t="s">
        <v>445</v>
      </c>
      <c r="E397" s="1">
        <v>3100</v>
      </c>
      <c r="F397" s="2">
        <v>2.1</v>
      </c>
      <c r="G397" s="6">
        <v>3.0999999999999999E-3</v>
      </c>
      <c r="H397" s="3">
        <v>2.3E-2</v>
      </c>
      <c r="I397" s="3">
        <v>2.3E-2</v>
      </c>
      <c r="J397" s="3">
        <v>2.7999999999999997E-2</v>
      </c>
      <c r="K397" s="3">
        <v>0.04</v>
      </c>
      <c r="L397" s="3">
        <v>0.63500000000000001</v>
      </c>
      <c r="M397" s="3">
        <v>0</v>
      </c>
      <c r="N397" s="3">
        <v>0</v>
      </c>
      <c r="O397" s="4">
        <f t="shared" si="6"/>
        <v>0.67741935483870974</v>
      </c>
    </row>
    <row r="398" spans="1:15" x14ac:dyDescent="0.2">
      <c r="A398" t="s">
        <v>59</v>
      </c>
      <c r="B398" t="s">
        <v>60</v>
      </c>
      <c r="C398" t="s">
        <v>11</v>
      </c>
      <c r="D398" t="s">
        <v>446</v>
      </c>
      <c r="E398" s="1">
        <v>4400</v>
      </c>
      <c r="F398" s="2">
        <v>0</v>
      </c>
      <c r="G398" s="6">
        <v>2.0299999999999999E-2</v>
      </c>
      <c r="H398" s="3">
        <v>0</v>
      </c>
      <c r="I398" s="3">
        <v>0</v>
      </c>
      <c r="J398" s="3">
        <v>0</v>
      </c>
      <c r="K398" s="3">
        <v>0</v>
      </c>
      <c r="L398" s="3">
        <v>0.66500000000000004</v>
      </c>
      <c r="M398" s="3">
        <v>0</v>
      </c>
      <c r="N398" s="3">
        <v>0</v>
      </c>
      <c r="O398" s="4">
        <f t="shared" si="6"/>
        <v>0</v>
      </c>
    </row>
    <row r="399" spans="1:15" x14ac:dyDescent="0.2">
      <c r="A399" t="s">
        <v>59</v>
      </c>
      <c r="B399" t="s">
        <v>60</v>
      </c>
      <c r="C399" t="s">
        <v>11</v>
      </c>
      <c r="D399" t="s">
        <v>447</v>
      </c>
      <c r="E399" s="1">
        <v>3000</v>
      </c>
      <c r="F399" s="2">
        <v>0.2</v>
      </c>
      <c r="G399" s="6">
        <v>1E-4</v>
      </c>
      <c r="H399" s="3">
        <v>8.0000000000000002E-3</v>
      </c>
      <c r="I399" s="3">
        <v>6.9999999999999993E-3</v>
      </c>
      <c r="J399" s="3">
        <v>0</v>
      </c>
      <c r="K399" s="3">
        <v>0</v>
      </c>
      <c r="L399" s="3">
        <v>0.57799999999999996</v>
      </c>
      <c r="M399" s="3">
        <v>0</v>
      </c>
      <c r="N399" s="3">
        <v>0</v>
      </c>
      <c r="O399" s="4">
        <f t="shared" si="6"/>
        <v>6.6666666666666666E-2</v>
      </c>
    </row>
    <row r="400" spans="1:15" x14ac:dyDescent="0.2">
      <c r="A400" t="s">
        <v>59</v>
      </c>
      <c r="B400" t="s">
        <v>60</v>
      </c>
      <c r="C400" t="s">
        <v>12</v>
      </c>
      <c r="D400" t="s">
        <v>448</v>
      </c>
      <c r="E400" s="1">
        <v>3700</v>
      </c>
      <c r="F400" s="2">
        <v>6.8</v>
      </c>
      <c r="G400" s="6">
        <v>6.1799999999999994E-2</v>
      </c>
      <c r="H400" s="3">
        <v>0</v>
      </c>
      <c r="I400" s="3">
        <v>0</v>
      </c>
      <c r="J400" s="3">
        <v>0.128</v>
      </c>
      <c r="K400" s="3">
        <v>0.128</v>
      </c>
      <c r="L400" s="3">
        <v>0.70400000000000007</v>
      </c>
      <c r="M400" s="3">
        <v>0</v>
      </c>
      <c r="N400" s="3">
        <v>0</v>
      </c>
      <c r="O400" s="4">
        <f t="shared" si="6"/>
        <v>1.8378378378378377</v>
      </c>
    </row>
    <row r="401" spans="1:15" x14ac:dyDescent="0.2">
      <c r="A401" t="s">
        <v>59</v>
      </c>
      <c r="B401" t="s">
        <v>60</v>
      </c>
      <c r="C401" t="s">
        <v>12</v>
      </c>
      <c r="D401" t="s">
        <v>449</v>
      </c>
      <c r="E401" s="1">
        <v>2500</v>
      </c>
      <c r="F401" s="2">
        <v>0.4</v>
      </c>
      <c r="G401" s="6">
        <v>1E-4</v>
      </c>
      <c r="H401" s="3">
        <v>0</v>
      </c>
      <c r="I401" s="3">
        <v>0</v>
      </c>
      <c r="J401" s="3">
        <v>9.0000000000000011E-3</v>
      </c>
      <c r="K401" s="3">
        <v>1.1000000000000001E-2</v>
      </c>
      <c r="L401" s="3">
        <v>0.69</v>
      </c>
      <c r="M401" s="3">
        <v>0</v>
      </c>
      <c r="N401" s="3">
        <v>0</v>
      </c>
      <c r="O401" s="4">
        <f t="shared" si="6"/>
        <v>0.16</v>
      </c>
    </row>
    <row r="402" spans="1:15" x14ac:dyDescent="0.2">
      <c r="A402" t="s">
        <v>59</v>
      </c>
      <c r="B402" t="s">
        <v>60</v>
      </c>
      <c r="C402" t="s">
        <v>12</v>
      </c>
      <c r="D402" t="s">
        <v>450</v>
      </c>
      <c r="E402" s="1">
        <v>2500</v>
      </c>
      <c r="F402" s="2">
        <v>0</v>
      </c>
      <c r="G402" s="6">
        <v>0</v>
      </c>
      <c r="H402" s="3">
        <v>0</v>
      </c>
      <c r="I402" s="3">
        <v>0</v>
      </c>
      <c r="J402" s="3">
        <v>0</v>
      </c>
      <c r="K402" s="3">
        <v>0</v>
      </c>
      <c r="L402" s="3">
        <v>0.72400000000000009</v>
      </c>
      <c r="M402" s="3">
        <v>0</v>
      </c>
      <c r="N402" s="3">
        <v>0</v>
      </c>
      <c r="O402" s="4">
        <f t="shared" si="6"/>
        <v>0</v>
      </c>
    </row>
    <row r="403" spans="1:15" x14ac:dyDescent="0.2">
      <c r="A403" t="s">
        <v>59</v>
      </c>
      <c r="B403" t="s">
        <v>60</v>
      </c>
      <c r="C403" t="s">
        <v>12</v>
      </c>
      <c r="D403" t="s">
        <v>451</v>
      </c>
      <c r="E403" s="1">
        <v>2500</v>
      </c>
      <c r="F403" s="2">
        <v>0</v>
      </c>
      <c r="G403" s="6">
        <v>0</v>
      </c>
      <c r="H403" s="3">
        <v>0</v>
      </c>
      <c r="I403" s="3">
        <v>0</v>
      </c>
      <c r="J403" s="3">
        <v>0</v>
      </c>
      <c r="K403" s="3">
        <v>0</v>
      </c>
      <c r="L403" s="3">
        <v>0.72400000000000009</v>
      </c>
      <c r="M403" s="3">
        <v>0</v>
      </c>
      <c r="N403" s="3">
        <v>0</v>
      </c>
      <c r="O403" s="4">
        <f t="shared" si="6"/>
        <v>0</v>
      </c>
    </row>
    <row r="404" spans="1:15" x14ac:dyDescent="0.2">
      <c r="A404" t="s">
        <v>59</v>
      </c>
      <c r="B404" t="s">
        <v>60</v>
      </c>
      <c r="C404" t="s">
        <v>14</v>
      </c>
      <c r="D404" t="s">
        <v>452</v>
      </c>
      <c r="E404" s="1"/>
      <c r="F404" s="2"/>
      <c r="G404" s="6">
        <v>0</v>
      </c>
      <c r="H404" s="3"/>
      <c r="I404" s="3"/>
      <c r="J404" s="3"/>
      <c r="K404" s="3"/>
      <c r="L404" s="3"/>
      <c r="M404" s="3"/>
      <c r="N404" s="3"/>
      <c r="O404" s="4" t="str">
        <f t="shared" si="6"/>
        <v/>
      </c>
    </row>
    <row r="405" spans="1:15" x14ac:dyDescent="0.2">
      <c r="A405" t="s">
        <v>59</v>
      </c>
      <c r="B405" t="s">
        <v>60</v>
      </c>
      <c r="C405" t="s">
        <v>13</v>
      </c>
      <c r="D405" t="s">
        <v>60</v>
      </c>
      <c r="E405" s="1">
        <v>2600</v>
      </c>
      <c r="F405" s="2">
        <v>5.8</v>
      </c>
      <c r="G405" s="6">
        <v>3.1800000000000002E-2</v>
      </c>
      <c r="H405" s="3"/>
      <c r="I405" s="3"/>
      <c r="J405" s="3"/>
      <c r="K405" s="3"/>
      <c r="L405" s="3"/>
      <c r="M405" s="3"/>
      <c r="N405" s="3"/>
      <c r="O405" s="4">
        <f t="shared" si="6"/>
        <v>2.2307692307692308</v>
      </c>
    </row>
    <row r="406" spans="1:15" x14ac:dyDescent="0.2">
      <c r="A406" t="s">
        <v>453</v>
      </c>
      <c r="B406" t="s">
        <v>454</v>
      </c>
      <c r="C406" t="s">
        <v>9</v>
      </c>
      <c r="D406" t="s">
        <v>455</v>
      </c>
      <c r="E406" s="1">
        <v>6900</v>
      </c>
      <c r="F406" s="2">
        <v>17.3</v>
      </c>
      <c r="G406" s="6">
        <v>7.2599999999999998E-2</v>
      </c>
      <c r="H406" s="3">
        <v>0.1</v>
      </c>
      <c r="I406" s="3">
        <v>0.1</v>
      </c>
      <c r="J406" s="3">
        <v>0</v>
      </c>
      <c r="K406" s="3">
        <v>0</v>
      </c>
      <c r="L406" s="3">
        <v>0</v>
      </c>
      <c r="M406" s="3">
        <v>1</v>
      </c>
      <c r="N406" s="3">
        <v>1.7000000000000001E-2</v>
      </c>
      <c r="O406" s="4">
        <f t="shared" si="6"/>
        <v>2.5072463768115942</v>
      </c>
    </row>
    <row r="407" spans="1:15" x14ac:dyDescent="0.2">
      <c r="A407" t="s">
        <v>453</v>
      </c>
      <c r="B407" t="s">
        <v>454</v>
      </c>
      <c r="C407" t="s">
        <v>9</v>
      </c>
      <c r="D407" t="s">
        <v>456</v>
      </c>
      <c r="E407" s="1">
        <v>4400</v>
      </c>
      <c r="F407" s="2">
        <v>0</v>
      </c>
      <c r="G407" s="6">
        <v>0</v>
      </c>
      <c r="H407" s="3">
        <v>0</v>
      </c>
      <c r="I407" s="3">
        <v>0</v>
      </c>
      <c r="J407" s="3">
        <v>0</v>
      </c>
      <c r="K407" s="3">
        <v>0</v>
      </c>
      <c r="L407" s="3">
        <v>0</v>
      </c>
      <c r="M407" s="3">
        <v>0</v>
      </c>
      <c r="N407" s="3">
        <v>0</v>
      </c>
      <c r="O407" s="4">
        <f t="shared" si="6"/>
        <v>0</v>
      </c>
    </row>
    <row r="408" spans="1:15" x14ac:dyDescent="0.2">
      <c r="A408" t="s">
        <v>453</v>
      </c>
      <c r="B408" t="s">
        <v>454</v>
      </c>
      <c r="C408" t="s">
        <v>10</v>
      </c>
      <c r="D408" t="s">
        <v>457</v>
      </c>
      <c r="E408" s="1">
        <v>7100</v>
      </c>
      <c r="F408" s="2">
        <v>17.5</v>
      </c>
      <c r="G408" s="6">
        <v>0.13109999999999999</v>
      </c>
      <c r="H408" s="3">
        <v>0.61599999999999999</v>
      </c>
      <c r="I408" s="3">
        <v>0.65300000000000002</v>
      </c>
      <c r="J408" s="3">
        <v>0.13900000000000001</v>
      </c>
      <c r="K408" s="3">
        <v>7.4999999999999997E-2</v>
      </c>
      <c r="L408" s="3">
        <v>0.80299999999999994</v>
      </c>
      <c r="M408" s="3">
        <v>0</v>
      </c>
      <c r="N408" s="3">
        <v>0</v>
      </c>
      <c r="O408" s="4">
        <f t="shared" si="6"/>
        <v>2.4647887323943665</v>
      </c>
    </row>
    <row r="409" spans="1:15" x14ac:dyDescent="0.2">
      <c r="A409" t="s">
        <v>453</v>
      </c>
      <c r="B409" t="s">
        <v>454</v>
      </c>
      <c r="C409" t="s">
        <v>10</v>
      </c>
      <c r="D409" t="s">
        <v>458</v>
      </c>
      <c r="E409" s="1">
        <v>4600</v>
      </c>
      <c r="F409" s="2">
        <v>5.9</v>
      </c>
      <c r="G409" s="6">
        <v>5.0000000000000001E-3</v>
      </c>
      <c r="H409" s="3">
        <v>0.21899999999999997</v>
      </c>
      <c r="I409" s="3">
        <v>0.20800000000000002</v>
      </c>
      <c r="J409" s="3">
        <v>4.9000000000000002E-2</v>
      </c>
      <c r="K409" s="3">
        <v>0.02</v>
      </c>
      <c r="L409" s="3">
        <v>0.80099999999999993</v>
      </c>
      <c r="M409" s="3">
        <v>0</v>
      </c>
      <c r="N409" s="3">
        <v>0</v>
      </c>
      <c r="O409" s="4">
        <f t="shared" si="6"/>
        <v>1.2826086956521741</v>
      </c>
    </row>
    <row r="410" spans="1:15" x14ac:dyDescent="0.2">
      <c r="A410" t="s">
        <v>453</v>
      </c>
      <c r="B410" t="s">
        <v>454</v>
      </c>
      <c r="C410" t="s">
        <v>10</v>
      </c>
      <c r="D410" t="s">
        <v>459</v>
      </c>
      <c r="E410" s="1">
        <v>4100</v>
      </c>
      <c r="F410" s="2">
        <v>1.1000000000000001</v>
      </c>
      <c r="G410" s="6">
        <v>2.0000000000000001E-4</v>
      </c>
      <c r="H410" s="3">
        <v>4.2000000000000003E-2</v>
      </c>
      <c r="I410" s="3">
        <v>0.02</v>
      </c>
      <c r="J410" s="3">
        <v>1.2E-2</v>
      </c>
      <c r="K410" s="3">
        <v>4.0000000000000001E-3</v>
      </c>
      <c r="L410" s="3">
        <v>0.746</v>
      </c>
      <c r="M410" s="3">
        <v>0</v>
      </c>
      <c r="N410" s="3">
        <v>0</v>
      </c>
      <c r="O410" s="4">
        <f t="shared" si="6"/>
        <v>0.26829268292682934</v>
      </c>
    </row>
    <row r="411" spans="1:15" x14ac:dyDescent="0.2">
      <c r="A411" t="s">
        <v>453</v>
      </c>
      <c r="B411" t="s">
        <v>454</v>
      </c>
      <c r="C411" t="s">
        <v>11</v>
      </c>
      <c r="D411" t="s">
        <v>460</v>
      </c>
      <c r="E411" s="1">
        <v>7800</v>
      </c>
      <c r="F411" s="2">
        <v>18</v>
      </c>
      <c r="G411" s="6">
        <v>0.20749999999999999</v>
      </c>
      <c r="H411" s="3">
        <v>9.0000000000000011E-3</v>
      </c>
      <c r="I411" s="3">
        <v>6.0000000000000001E-3</v>
      </c>
      <c r="J411" s="3">
        <v>0.27500000000000002</v>
      </c>
      <c r="K411" s="3">
        <v>0.31900000000000001</v>
      </c>
      <c r="L411" s="3">
        <v>0.69799999999999995</v>
      </c>
      <c r="M411" s="3">
        <v>0</v>
      </c>
      <c r="N411" s="3">
        <v>0</v>
      </c>
      <c r="O411" s="4">
        <f t="shared" si="6"/>
        <v>2.3076923076923079</v>
      </c>
    </row>
    <row r="412" spans="1:15" x14ac:dyDescent="0.2">
      <c r="A412" t="s">
        <v>453</v>
      </c>
      <c r="B412" t="s">
        <v>454</v>
      </c>
      <c r="C412" t="s">
        <v>11</v>
      </c>
      <c r="D412" t="s">
        <v>461</v>
      </c>
      <c r="E412" s="1">
        <v>6300</v>
      </c>
      <c r="F412" s="2">
        <v>11.5</v>
      </c>
      <c r="G412" s="6">
        <v>0.11840000000000001</v>
      </c>
      <c r="H412" s="3">
        <v>0</v>
      </c>
      <c r="I412" s="3">
        <v>0</v>
      </c>
      <c r="J412" s="3">
        <v>0.185</v>
      </c>
      <c r="K412" s="3">
        <v>0.253</v>
      </c>
      <c r="L412" s="3">
        <v>0.63700000000000001</v>
      </c>
      <c r="M412" s="3">
        <v>0</v>
      </c>
      <c r="N412" s="3">
        <v>0</v>
      </c>
      <c r="O412" s="4">
        <f t="shared" si="6"/>
        <v>1.8253968253968254</v>
      </c>
    </row>
    <row r="413" spans="1:15" x14ac:dyDescent="0.2">
      <c r="A413" t="s">
        <v>453</v>
      </c>
      <c r="B413" t="s">
        <v>454</v>
      </c>
      <c r="C413" t="s">
        <v>11</v>
      </c>
      <c r="D413" t="s">
        <v>462</v>
      </c>
      <c r="E413" s="1">
        <v>3300</v>
      </c>
      <c r="F413" s="2">
        <v>4.5</v>
      </c>
      <c r="G413" s="6">
        <v>1.0200000000000001E-2</v>
      </c>
      <c r="H413" s="3">
        <v>1.3999999999999999E-2</v>
      </c>
      <c r="I413" s="3">
        <v>1.3000000000000001E-2</v>
      </c>
      <c r="J413" s="3">
        <v>7.2000000000000008E-2</v>
      </c>
      <c r="K413" s="3">
        <v>7.9000000000000001E-2</v>
      </c>
      <c r="L413" s="3">
        <v>0.58399999999999996</v>
      </c>
      <c r="M413" s="3">
        <v>0</v>
      </c>
      <c r="N413" s="3">
        <v>0</v>
      </c>
      <c r="O413" s="4">
        <f t="shared" si="6"/>
        <v>1.3636363636363638</v>
      </c>
    </row>
    <row r="414" spans="1:15" x14ac:dyDescent="0.2">
      <c r="A414" t="s">
        <v>453</v>
      </c>
      <c r="B414" t="s">
        <v>454</v>
      </c>
      <c r="C414" t="s">
        <v>11</v>
      </c>
      <c r="D414" t="s">
        <v>463</v>
      </c>
      <c r="E414" s="1">
        <v>3100</v>
      </c>
      <c r="F414" s="2">
        <v>1.7</v>
      </c>
      <c r="G414" s="6">
        <v>5.5000000000000005E-3</v>
      </c>
      <c r="H414" s="3">
        <v>0</v>
      </c>
      <c r="I414" s="3">
        <v>0</v>
      </c>
      <c r="J414" s="3">
        <v>2.8999999999999998E-2</v>
      </c>
      <c r="K414" s="3">
        <v>3.1E-2</v>
      </c>
      <c r="L414" s="3">
        <v>0.63</v>
      </c>
      <c r="M414" s="3">
        <v>0</v>
      </c>
      <c r="N414" s="3">
        <v>0</v>
      </c>
      <c r="O414" s="4">
        <f t="shared" si="6"/>
        <v>0.54838709677419351</v>
      </c>
    </row>
    <row r="415" spans="1:15" x14ac:dyDescent="0.2">
      <c r="A415" t="s">
        <v>453</v>
      </c>
      <c r="B415" t="s">
        <v>454</v>
      </c>
      <c r="C415" t="s">
        <v>11</v>
      </c>
      <c r="D415" t="s">
        <v>464</v>
      </c>
      <c r="E415" s="1">
        <v>3000</v>
      </c>
      <c r="F415" s="2">
        <v>0.5</v>
      </c>
      <c r="G415" s="6">
        <v>1.2999999999999999E-3</v>
      </c>
      <c r="H415" s="3">
        <v>0</v>
      </c>
      <c r="I415" s="3">
        <v>0</v>
      </c>
      <c r="J415" s="3">
        <v>9.0000000000000011E-3</v>
      </c>
      <c r="K415" s="3">
        <v>8.0000000000000002E-3</v>
      </c>
      <c r="L415" s="3">
        <v>0.63</v>
      </c>
      <c r="M415" s="3">
        <v>0</v>
      </c>
      <c r="N415" s="3">
        <v>0</v>
      </c>
      <c r="O415" s="4">
        <f t="shared" si="6"/>
        <v>0.16666666666666666</v>
      </c>
    </row>
    <row r="416" spans="1:15" x14ac:dyDescent="0.2">
      <c r="A416" t="s">
        <v>453</v>
      </c>
      <c r="B416" t="s">
        <v>454</v>
      </c>
      <c r="C416" t="s">
        <v>11</v>
      </c>
      <c r="D416" t="s">
        <v>465</v>
      </c>
      <c r="E416" s="1">
        <v>3000</v>
      </c>
      <c r="F416" s="2">
        <v>0</v>
      </c>
      <c r="G416" s="6">
        <v>2.0000000000000001E-4</v>
      </c>
      <c r="H416" s="3">
        <v>0</v>
      </c>
      <c r="I416" s="3">
        <v>0</v>
      </c>
      <c r="J416" s="3">
        <v>0</v>
      </c>
      <c r="K416" s="3">
        <v>0</v>
      </c>
      <c r="L416" s="3">
        <v>0.65799999999999992</v>
      </c>
      <c r="M416" s="3">
        <v>0</v>
      </c>
      <c r="N416" s="3">
        <v>0</v>
      </c>
      <c r="O416" s="4">
        <f t="shared" si="6"/>
        <v>0</v>
      </c>
    </row>
    <row r="417" spans="1:15" x14ac:dyDescent="0.2">
      <c r="A417" t="s">
        <v>453</v>
      </c>
      <c r="B417" t="s">
        <v>454</v>
      </c>
      <c r="C417" t="s">
        <v>12</v>
      </c>
      <c r="D417" t="s">
        <v>466</v>
      </c>
      <c r="E417" s="1">
        <v>2500</v>
      </c>
      <c r="F417" s="2">
        <v>5.4</v>
      </c>
      <c r="G417" s="6">
        <v>1E-4</v>
      </c>
      <c r="H417" s="3">
        <v>0</v>
      </c>
      <c r="I417" s="3">
        <v>0</v>
      </c>
      <c r="J417" s="3">
        <v>9.3000000000000013E-2</v>
      </c>
      <c r="K417" s="3">
        <v>9.3000000000000013E-2</v>
      </c>
      <c r="L417" s="3">
        <v>0.84400000000000008</v>
      </c>
      <c r="M417" s="3">
        <v>0</v>
      </c>
      <c r="N417" s="3">
        <v>0</v>
      </c>
      <c r="O417" s="4">
        <f t="shared" si="6"/>
        <v>2.16</v>
      </c>
    </row>
    <row r="418" spans="1:15" x14ac:dyDescent="0.2">
      <c r="A418" t="s">
        <v>453</v>
      </c>
      <c r="B418" t="s">
        <v>454</v>
      </c>
      <c r="C418" t="s">
        <v>12</v>
      </c>
      <c r="D418" t="s">
        <v>467</v>
      </c>
      <c r="E418" s="1">
        <v>3100</v>
      </c>
      <c r="F418" s="2">
        <v>4.5999999999999996</v>
      </c>
      <c r="G418" s="6">
        <v>7.1999999999999998E-3</v>
      </c>
      <c r="H418" s="3">
        <v>0</v>
      </c>
      <c r="I418" s="3">
        <v>0</v>
      </c>
      <c r="J418" s="3">
        <v>7.8E-2</v>
      </c>
      <c r="K418" s="3">
        <v>7.9000000000000001E-2</v>
      </c>
      <c r="L418" s="3">
        <v>0.74199999999999999</v>
      </c>
      <c r="M418" s="3">
        <v>0</v>
      </c>
      <c r="N418" s="3">
        <v>0</v>
      </c>
      <c r="O418" s="4">
        <f t="shared" si="6"/>
        <v>1.4838709677419353</v>
      </c>
    </row>
    <row r="419" spans="1:15" x14ac:dyDescent="0.2">
      <c r="A419" t="s">
        <v>453</v>
      </c>
      <c r="B419" t="s">
        <v>454</v>
      </c>
      <c r="C419" t="s">
        <v>12</v>
      </c>
      <c r="D419" t="s">
        <v>468</v>
      </c>
      <c r="E419" s="1">
        <v>2600</v>
      </c>
      <c r="F419" s="2">
        <v>2.2999999999999998</v>
      </c>
      <c r="G419" s="6">
        <v>4.0000000000000002E-4</v>
      </c>
      <c r="H419" s="3">
        <v>0</v>
      </c>
      <c r="I419" s="3">
        <v>0</v>
      </c>
      <c r="J419" s="3">
        <v>3.7999999999999999E-2</v>
      </c>
      <c r="K419" s="3">
        <v>3.9E-2</v>
      </c>
      <c r="L419" s="3">
        <v>0.80900000000000005</v>
      </c>
      <c r="M419" s="3">
        <v>0</v>
      </c>
      <c r="N419" s="3">
        <v>0</v>
      </c>
      <c r="O419" s="4">
        <f t="shared" si="6"/>
        <v>0.88461538461538447</v>
      </c>
    </row>
    <row r="420" spans="1:15" x14ac:dyDescent="0.2">
      <c r="A420" t="s">
        <v>453</v>
      </c>
      <c r="B420" t="s">
        <v>454</v>
      </c>
      <c r="C420" t="s">
        <v>12</v>
      </c>
      <c r="D420" t="s">
        <v>469</v>
      </c>
      <c r="E420" s="1">
        <v>2500</v>
      </c>
      <c r="F420" s="2">
        <v>1</v>
      </c>
      <c r="G420" s="6">
        <v>0</v>
      </c>
      <c r="H420" s="3">
        <v>0</v>
      </c>
      <c r="I420" s="3">
        <v>0</v>
      </c>
      <c r="J420" s="3">
        <v>0.02</v>
      </c>
      <c r="K420" s="3">
        <v>0</v>
      </c>
      <c r="L420" s="3">
        <v>0.72400000000000009</v>
      </c>
      <c r="M420" s="3">
        <v>0</v>
      </c>
      <c r="N420" s="3">
        <v>0</v>
      </c>
      <c r="O420" s="4">
        <f t="shared" si="6"/>
        <v>0.4</v>
      </c>
    </row>
    <row r="421" spans="1:15" x14ac:dyDescent="0.2">
      <c r="A421" t="s">
        <v>453</v>
      </c>
      <c r="B421" t="s">
        <v>454</v>
      </c>
      <c r="C421" t="s">
        <v>14</v>
      </c>
      <c r="D421" t="s">
        <v>470</v>
      </c>
      <c r="E421" s="1"/>
      <c r="F421" s="2"/>
      <c r="G421" s="6">
        <v>0</v>
      </c>
      <c r="H421" s="3"/>
      <c r="I421" s="3"/>
      <c r="J421" s="3"/>
      <c r="K421" s="3"/>
      <c r="L421" s="3"/>
      <c r="M421" s="3"/>
      <c r="N421" s="3"/>
      <c r="O421" s="4" t="str">
        <f t="shared" si="6"/>
        <v/>
      </c>
    </row>
    <row r="422" spans="1:15" x14ac:dyDescent="0.2">
      <c r="A422" t="s">
        <v>453</v>
      </c>
      <c r="B422" t="s">
        <v>454</v>
      </c>
      <c r="C422" t="s">
        <v>13</v>
      </c>
      <c r="D422" t="s">
        <v>454</v>
      </c>
      <c r="E422" s="1">
        <v>2700</v>
      </c>
      <c r="F422" s="2">
        <v>6.5</v>
      </c>
      <c r="G422" s="6">
        <v>0.04</v>
      </c>
      <c r="H422" s="3"/>
      <c r="I422" s="3"/>
      <c r="J422" s="3"/>
      <c r="K422" s="3"/>
      <c r="L422" s="3"/>
      <c r="M422" s="3"/>
      <c r="N422" s="3"/>
      <c r="O422" s="4">
        <f t="shared" si="6"/>
        <v>2.4074074074074074</v>
      </c>
    </row>
    <row r="423" spans="1:15" x14ac:dyDescent="0.2">
      <c r="A423" t="s">
        <v>497</v>
      </c>
      <c r="B423" t="s">
        <v>498</v>
      </c>
      <c r="C423" t="s">
        <v>9</v>
      </c>
      <c r="D423" t="s">
        <v>499</v>
      </c>
      <c r="E423" s="1">
        <v>5800</v>
      </c>
      <c r="F423" s="2">
        <v>16.8</v>
      </c>
      <c r="G423" s="6"/>
      <c r="H423" s="3"/>
      <c r="I423" s="3"/>
      <c r="J423" s="3"/>
      <c r="K423" s="3"/>
      <c r="L423" s="3"/>
      <c r="M423" s="3"/>
      <c r="N423" s="3"/>
      <c r="O423" s="4">
        <f>IFERROR(F423/(E423/1000),"")</f>
        <v>2.896551724137931</v>
      </c>
    </row>
    <row r="424" spans="1:15" x14ac:dyDescent="0.2">
      <c r="A424" t="s">
        <v>497</v>
      </c>
      <c r="B424" t="s">
        <v>498</v>
      </c>
      <c r="C424" t="s">
        <v>9</v>
      </c>
      <c r="D424" t="s">
        <v>500</v>
      </c>
      <c r="E424" s="1">
        <v>4300</v>
      </c>
      <c r="F424" s="2">
        <v>0</v>
      </c>
      <c r="G424" s="6"/>
      <c r="H424" s="3"/>
      <c r="I424" s="3"/>
      <c r="J424" s="3"/>
      <c r="K424" s="3"/>
      <c r="L424" s="3"/>
      <c r="M424" s="3"/>
      <c r="N424" s="3"/>
      <c r="O424" s="4">
        <f t="shared" ref="O424:O487" si="7">IFERROR(F424/(E424/1000),"")</f>
        <v>0</v>
      </c>
    </row>
    <row r="425" spans="1:15" x14ac:dyDescent="0.2">
      <c r="A425" t="s">
        <v>497</v>
      </c>
      <c r="B425" t="s">
        <v>498</v>
      </c>
      <c r="C425" t="s">
        <v>9</v>
      </c>
      <c r="D425" t="s">
        <v>501</v>
      </c>
      <c r="E425" s="1">
        <v>4000</v>
      </c>
      <c r="F425" s="2">
        <v>0</v>
      </c>
      <c r="G425" s="6"/>
      <c r="H425" s="3"/>
      <c r="I425" s="3"/>
      <c r="J425" s="3"/>
      <c r="K425" s="3"/>
      <c r="L425" s="3"/>
      <c r="M425" s="3"/>
      <c r="N425" s="3"/>
      <c r="O425" s="4">
        <f t="shared" si="7"/>
        <v>0</v>
      </c>
    </row>
    <row r="426" spans="1:15" x14ac:dyDescent="0.2">
      <c r="A426" t="s">
        <v>497</v>
      </c>
      <c r="B426" t="s">
        <v>498</v>
      </c>
      <c r="C426" t="s">
        <v>10</v>
      </c>
      <c r="D426" t="s">
        <v>502</v>
      </c>
      <c r="E426" s="1">
        <v>5300</v>
      </c>
      <c r="F426" s="2">
        <v>8.3000000000000007</v>
      </c>
      <c r="G426" s="6"/>
      <c r="H426" s="3"/>
      <c r="I426" s="3"/>
      <c r="J426" s="3"/>
      <c r="K426" s="3"/>
      <c r="L426" s="3"/>
      <c r="M426" s="3"/>
      <c r="N426" s="3"/>
      <c r="O426" s="4">
        <f t="shared" si="7"/>
        <v>1.5660377358490567</v>
      </c>
    </row>
    <row r="427" spans="1:15" x14ac:dyDescent="0.2">
      <c r="A427" t="s">
        <v>497</v>
      </c>
      <c r="B427" t="s">
        <v>498</v>
      </c>
      <c r="C427" t="s">
        <v>10</v>
      </c>
      <c r="D427" t="s">
        <v>503</v>
      </c>
      <c r="E427" s="1">
        <v>5400</v>
      </c>
      <c r="F427" s="2">
        <v>9</v>
      </c>
      <c r="G427" s="6"/>
      <c r="H427" s="3"/>
      <c r="I427" s="3"/>
      <c r="J427" s="3"/>
      <c r="K427" s="3"/>
      <c r="L427" s="3"/>
      <c r="M427" s="3"/>
      <c r="N427" s="3"/>
      <c r="O427" s="4">
        <f t="shared" si="7"/>
        <v>1.6666666666666665</v>
      </c>
    </row>
    <row r="428" spans="1:15" x14ac:dyDescent="0.2">
      <c r="A428" t="s">
        <v>497</v>
      </c>
      <c r="B428" t="s">
        <v>498</v>
      </c>
      <c r="C428" t="s">
        <v>10</v>
      </c>
      <c r="D428" t="s">
        <v>504</v>
      </c>
      <c r="E428" s="1">
        <v>4300</v>
      </c>
      <c r="F428" s="2">
        <v>1.5</v>
      </c>
      <c r="G428" s="6"/>
      <c r="H428" s="3"/>
      <c r="I428" s="3"/>
      <c r="J428" s="3"/>
      <c r="K428" s="3"/>
      <c r="L428" s="3"/>
      <c r="M428" s="3"/>
      <c r="N428" s="3"/>
      <c r="O428" s="4">
        <f t="shared" si="7"/>
        <v>0.34883720930232559</v>
      </c>
    </row>
    <row r="429" spans="1:15" x14ac:dyDescent="0.2">
      <c r="A429" t="s">
        <v>497</v>
      </c>
      <c r="B429" t="s">
        <v>498</v>
      </c>
      <c r="C429" t="s">
        <v>10</v>
      </c>
      <c r="D429" t="s">
        <v>505</v>
      </c>
      <c r="E429" s="1">
        <v>4000</v>
      </c>
      <c r="F429" s="2">
        <v>0.4</v>
      </c>
      <c r="G429" s="6"/>
      <c r="H429" s="3"/>
      <c r="I429" s="3"/>
      <c r="J429" s="3"/>
      <c r="K429" s="3"/>
      <c r="L429" s="3"/>
      <c r="M429" s="3"/>
      <c r="N429" s="3"/>
      <c r="O429" s="4">
        <f t="shared" si="7"/>
        <v>0.1</v>
      </c>
    </row>
    <row r="430" spans="1:15" x14ac:dyDescent="0.2">
      <c r="A430" t="s">
        <v>497</v>
      </c>
      <c r="B430" t="s">
        <v>498</v>
      </c>
      <c r="C430" t="s">
        <v>11</v>
      </c>
      <c r="D430" t="s">
        <v>506</v>
      </c>
      <c r="E430" s="1">
        <v>6300</v>
      </c>
      <c r="F430" s="2">
        <v>11.2</v>
      </c>
      <c r="G430" s="6"/>
      <c r="H430" s="3"/>
      <c r="I430" s="3"/>
      <c r="J430" s="3"/>
      <c r="K430" s="3"/>
      <c r="L430" s="3"/>
      <c r="M430" s="3"/>
      <c r="N430" s="3"/>
      <c r="O430" s="4">
        <f t="shared" si="7"/>
        <v>1.7777777777777777</v>
      </c>
    </row>
    <row r="431" spans="1:15" x14ac:dyDescent="0.2">
      <c r="A431" t="s">
        <v>497</v>
      </c>
      <c r="B431" t="s">
        <v>498</v>
      </c>
      <c r="C431" t="s">
        <v>11</v>
      </c>
      <c r="D431" t="s">
        <v>507</v>
      </c>
      <c r="E431" s="1">
        <v>6000</v>
      </c>
      <c r="F431" s="2">
        <v>9.4</v>
      </c>
      <c r="G431" s="6"/>
      <c r="H431" s="3"/>
      <c r="I431" s="3"/>
      <c r="J431" s="3"/>
      <c r="K431" s="3"/>
      <c r="L431" s="3"/>
      <c r="M431" s="3"/>
      <c r="N431" s="3"/>
      <c r="O431" s="4">
        <f t="shared" si="7"/>
        <v>1.5666666666666667</v>
      </c>
    </row>
    <row r="432" spans="1:15" x14ac:dyDescent="0.2">
      <c r="A432" t="s">
        <v>497</v>
      </c>
      <c r="B432" t="s">
        <v>498</v>
      </c>
      <c r="C432" t="s">
        <v>11</v>
      </c>
      <c r="D432" t="s">
        <v>508</v>
      </c>
      <c r="E432" s="1">
        <v>4200</v>
      </c>
      <c r="F432" s="2">
        <v>6.6</v>
      </c>
      <c r="G432" s="6"/>
      <c r="H432" s="3"/>
      <c r="I432" s="3"/>
      <c r="J432" s="3"/>
      <c r="K432" s="3"/>
      <c r="L432" s="3"/>
      <c r="M432" s="3"/>
      <c r="N432" s="3"/>
      <c r="O432" s="4">
        <f t="shared" si="7"/>
        <v>1.5714285714285712</v>
      </c>
    </row>
    <row r="433" spans="1:15" x14ac:dyDescent="0.2">
      <c r="A433" t="s">
        <v>497</v>
      </c>
      <c r="B433" t="s">
        <v>498</v>
      </c>
      <c r="C433" t="s">
        <v>11</v>
      </c>
      <c r="D433" t="s">
        <v>509</v>
      </c>
      <c r="E433" s="1">
        <v>3800</v>
      </c>
      <c r="F433" s="2">
        <v>3.4</v>
      </c>
      <c r="G433" s="6"/>
      <c r="H433" s="3"/>
      <c r="I433" s="3"/>
      <c r="J433" s="3"/>
      <c r="K433" s="3"/>
      <c r="L433" s="3"/>
      <c r="M433" s="3"/>
      <c r="N433" s="3"/>
      <c r="O433" s="4">
        <f t="shared" si="7"/>
        <v>0.89473684210526316</v>
      </c>
    </row>
    <row r="434" spans="1:15" x14ac:dyDescent="0.2">
      <c r="A434" t="s">
        <v>497</v>
      </c>
      <c r="B434" t="s">
        <v>498</v>
      </c>
      <c r="C434" t="s">
        <v>11</v>
      </c>
      <c r="D434" t="s">
        <v>510</v>
      </c>
      <c r="E434" s="1">
        <v>3200</v>
      </c>
      <c r="F434" s="2">
        <v>2.2999999999999998</v>
      </c>
      <c r="G434" s="6"/>
      <c r="H434" s="3"/>
      <c r="I434" s="3"/>
      <c r="J434" s="3"/>
      <c r="K434" s="3"/>
      <c r="L434" s="3"/>
      <c r="M434" s="3"/>
      <c r="N434" s="3"/>
      <c r="O434" s="4">
        <f t="shared" si="7"/>
        <v>0.71874999999999989</v>
      </c>
    </row>
    <row r="435" spans="1:15" x14ac:dyDescent="0.2">
      <c r="A435" t="s">
        <v>497</v>
      </c>
      <c r="B435" t="s">
        <v>498</v>
      </c>
      <c r="C435" t="s">
        <v>11</v>
      </c>
      <c r="D435" t="s">
        <v>511</v>
      </c>
      <c r="E435" s="1">
        <v>3200</v>
      </c>
      <c r="F435" s="2">
        <v>0</v>
      </c>
      <c r="G435" s="6"/>
      <c r="H435" s="3"/>
      <c r="I435" s="3"/>
      <c r="J435" s="3"/>
      <c r="K435" s="3"/>
      <c r="L435" s="3"/>
      <c r="M435" s="3"/>
      <c r="N435" s="3"/>
      <c r="O435" s="4">
        <f t="shared" si="7"/>
        <v>0</v>
      </c>
    </row>
    <row r="436" spans="1:15" x14ac:dyDescent="0.2">
      <c r="A436" t="s">
        <v>497</v>
      </c>
      <c r="B436" t="s">
        <v>498</v>
      </c>
      <c r="C436" t="s">
        <v>12</v>
      </c>
      <c r="D436" t="s">
        <v>512</v>
      </c>
      <c r="E436" s="1">
        <v>3400</v>
      </c>
      <c r="F436" s="2">
        <v>5.9</v>
      </c>
      <c r="G436" s="6"/>
      <c r="H436" s="3"/>
      <c r="I436" s="3"/>
      <c r="J436" s="3"/>
      <c r="K436" s="3"/>
      <c r="L436" s="3"/>
      <c r="M436" s="3"/>
      <c r="N436" s="3"/>
      <c r="O436" s="4">
        <f t="shared" si="7"/>
        <v>1.7352941176470589</v>
      </c>
    </row>
    <row r="437" spans="1:15" x14ac:dyDescent="0.2">
      <c r="A437" t="s">
        <v>497</v>
      </c>
      <c r="B437" t="s">
        <v>498</v>
      </c>
      <c r="C437" t="s">
        <v>12</v>
      </c>
      <c r="D437" t="s">
        <v>513</v>
      </c>
      <c r="E437" s="1">
        <v>2700</v>
      </c>
      <c r="F437" s="2">
        <v>1.8</v>
      </c>
      <c r="G437" s="6"/>
      <c r="H437" s="3"/>
      <c r="I437" s="3"/>
      <c r="J437" s="3"/>
      <c r="K437" s="3"/>
      <c r="L437" s="3"/>
      <c r="M437" s="3"/>
      <c r="N437" s="3"/>
      <c r="O437" s="4">
        <f t="shared" si="7"/>
        <v>0.66666666666666663</v>
      </c>
    </row>
    <row r="438" spans="1:15" x14ac:dyDescent="0.2">
      <c r="A438" t="s">
        <v>497</v>
      </c>
      <c r="B438" t="s">
        <v>498</v>
      </c>
      <c r="C438" t="s">
        <v>12</v>
      </c>
      <c r="D438" t="s">
        <v>514</v>
      </c>
      <c r="E438" s="1">
        <v>2500</v>
      </c>
      <c r="F438" s="2">
        <v>1.4</v>
      </c>
      <c r="G438" s="6"/>
      <c r="H438" s="3"/>
      <c r="I438" s="3"/>
      <c r="J438" s="3"/>
      <c r="K438" s="3"/>
      <c r="L438" s="3"/>
      <c r="M438" s="3"/>
      <c r="N438" s="3"/>
      <c r="O438" s="4">
        <f t="shared" si="7"/>
        <v>0.55999999999999994</v>
      </c>
    </row>
    <row r="439" spans="1:15" x14ac:dyDescent="0.2">
      <c r="A439" t="s">
        <v>497</v>
      </c>
      <c r="B439" t="s">
        <v>498</v>
      </c>
      <c r="C439" t="s">
        <v>12</v>
      </c>
      <c r="D439" t="s">
        <v>515</v>
      </c>
      <c r="E439" s="1">
        <v>2500</v>
      </c>
      <c r="F439" s="2">
        <v>0</v>
      </c>
      <c r="G439" s="6"/>
      <c r="H439" s="3"/>
      <c r="I439" s="3"/>
      <c r="J439" s="3"/>
      <c r="K439" s="3"/>
      <c r="L439" s="3"/>
      <c r="M439" s="3"/>
      <c r="N439" s="3"/>
      <c r="O439" s="4">
        <f t="shared" si="7"/>
        <v>0</v>
      </c>
    </row>
    <row r="440" spans="1:15" x14ac:dyDescent="0.2">
      <c r="A440" t="s">
        <v>497</v>
      </c>
      <c r="B440" t="s">
        <v>498</v>
      </c>
      <c r="C440" t="s">
        <v>14</v>
      </c>
      <c r="D440" t="s">
        <v>516</v>
      </c>
      <c r="E440" s="1"/>
      <c r="F440" s="2"/>
      <c r="G440" s="6"/>
      <c r="H440" s="3"/>
      <c r="I440" s="3"/>
      <c r="J440" s="3"/>
      <c r="K440" s="3"/>
      <c r="L440" s="3"/>
      <c r="M440" s="3"/>
      <c r="N440" s="3"/>
      <c r="O440" s="4" t="str">
        <f t="shared" si="7"/>
        <v/>
      </c>
    </row>
    <row r="441" spans="1:15" x14ac:dyDescent="0.2">
      <c r="A441" t="s">
        <v>497</v>
      </c>
      <c r="B441" t="s">
        <v>498</v>
      </c>
      <c r="C441" t="s">
        <v>13</v>
      </c>
      <c r="D441" t="s">
        <v>498</v>
      </c>
      <c r="E441" s="1">
        <v>2900</v>
      </c>
      <c r="F441" s="2">
        <v>7</v>
      </c>
      <c r="G441" s="6"/>
      <c r="H441" s="3"/>
      <c r="I441" s="3"/>
      <c r="J441" s="3"/>
      <c r="K441" s="3"/>
      <c r="L441" s="3"/>
      <c r="M441" s="3"/>
      <c r="N441" s="3"/>
      <c r="O441" s="4">
        <f t="shared" si="7"/>
        <v>2.4137931034482758</v>
      </c>
    </row>
    <row r="442" spans="1:15" x14ac:dyDescent="0.2">
      <c r="A442" t="s">
        <v>517</v>
      </c>
      <c r="B442" t="s">
        <v>518</v>
      </c>
      <c r="C442" t="s">
        <v>9</v>
      </c>
      <c r="D442" t="s">
        <v>519</v>
      </c>
      <c r="E442" s="1">
        <v>5500</v>
      </c>
      <c r="F442" s="2">
        <v>17.2</v>
      </c>
      <c r="G442" s="6"/>
      <c r="H442" s="3"/>
      <c r="I442" s="3"/>
      <c r="J442" s="3"/>
      <c r="K442" s="3"/>
      <c r="L442" s="3"/>
      <c r="M442" s="3"/>
      <c r="N442" s="3"/>
      <c r="O442" s="4">
        <f t="shared" si="7"/>
        <v>3.127272727272727</v>
      </c>
    </row>
    <row r="443" spans="1:15" x14ac:dyDescent="0.2">
      <c r="A443" t="s">
        <v>517</v>
      </c>
      <c r="B443" t="s">
        <v>518</v>
      </c>
      <c r="C443" t="s">
        <v>9</v>
      </c>
      <c r="D443" t="s">
        <v>520</v>
      </c>
      <c r="E443" s="1">
        <v>4500</v>
      </c>
      <c r="F443" s="2">
        <v>0</v>
      </c>
      <c r="G443" s="6"/>
      <c r="H443" s="3"/>
      <c r="I443" s="3"/>
      <c r="J443" s="3"/>
      <c r="K443" s="3"/>
      <c r="L443" s="3"/>
      <c r="M443" s="3"/>
      <c r="N443" s="3"/>
      <c r="O443" s="4">
        <f t="shared" si="7"/>
        <v>0</v>
      </c>
    </row>
    <row r="444" spans="1:15" x14ac:dyDescent="0.2">
      <c r="A444" t="s">
        <v>517</v>
      </c>
      <c r="B444" t="s">
        <v>518</v>
      </c>
      <c r="C444" t="s">
        <v>9</v>
      </c>
      <c r="D444" t="s">
        <v>521</v>
      </c>
      <c r="E444" s="1">
        <v>4000</v>
      </c>
      <c r="F444" s="2">
        <v>0</v>
      </c>
      <c r="G444" s="6"/>
      <c r="H444" s="3"/>
      <c r="I444" s="3"/>
      <c r="J444" s="3"/>
      <c r="K444" s="3"/>
      <c r="L444" s="3"/>
      <c r="M444" s="3"/>
      <c r="N444" s="3"/>
      <c r="O444" s="4">
        <f t="shared" si="7"/>
        <v>0</v>
      </c>
    </row>
    <row r="445" spans="1:15" x14ac:dyDescent="0.2">
      <c r="A445" t="s">
        <v>517</v>
      </c>
      <c r="B445" t="s">
        <v>518</v>
      </c>
      <c r="C445" t="s">
        <v>10</v>
      </c>
      <c r="D445" t="s">
        <v>522</v>
      </c>
      <c r="E445" s="1">
        <v>6500</v>
      </c>
      <c r="F445" s="2">
        <v>15.8</v>
      </c>
      <c r="G445" s="6"/>
      <c r="H445" s="3"/>
      <c r="I445" s="3"/>
      <c r="J445" s="3"/>
      <c r="K445" s="3"/>
      <c r="L445" s="3"/>
      <c r="M445" s="3"/>
      <c r="N445" s="3"/>
      <c r="O445" s="4">
        <f t="shared" si="7"/>
        <v>2.430769230769231</v>
      </c>
    </row>
    <row r="446" spans="1:15" x14ac:dyDescent="0.2">
      <c r="A446" t="s">
        <v>517</v>
      </c>
      <c r="B446" t="s">
        <v>518</v>
      </c>
      <c r="C446" t="s">
        <v>10</v>
      </c>
      <c r="D446" t="s">
        <v>523</v>
      </c>
      <c r="E446" s="1">
        <v>4500</v>
      </c>
      <c r="F446" s="2">
        <v>5.9</v>
      </c>
      <c r="G446" s="6"/>
      <c r="H446" s="3"/>
      <c r="I446" s="3"/>
      <c r="J446" s="3"/>
      <c r="K446" s="3"/>
      <c r="L446" s="3"/>
      <c r="M446" s="3"/>
      <c r="N446" s="3"/>
      <c r="O446" s="4">
        <f t="shared" si="7"/>
        <v>1.3111111111111111</v>
      </c>
    </row>
    <row r="447" spans="1:15" x14ac:dyDescent="0.2">
      <c r="A447" t="s">
        <v>517</v>
      </c>
      <c r="B447" t="s">
        <v>518</v>
      </c>
      <c r="C447" t="s">
        <v>10</v>
      </c>
      <c r="D447" t="s">
        <v>524</v>
      </c>
      <c r="E447" s="1">
        <v>4000</v>
      </c>
      <c r="F447" s="2">
        <v>1.6</v>
      </c>
      <c r="G447" s="6"/>
      <c r="H447" s="3"/>
      <c r="I447" s="3"/>
      <c r="J447" s="3"/>
      <c r="K447" s="3"/>
      <c r="L447" s="3"/>
      <c r="M447" s="3"/>
      <c r="N447" s="3"/>
      <c r="O447" s="4">
        <f t="shared" si="7"/>
        <v>0.4</v>
      </c>
    </row>
    <row r="448" spans="1:15" x14ac:dyDescent="0.2">
      <c r="A448" t="s">
        <v>517</v>
      </c>
      <c r="B448" t="s">
        <v>518</v>
      </c>
      <c r="C448" t="s">
        <v>11</v>
      </c>
      <c r="D448" t="s">
        <v>525</v>
      </c>
      <c r="E448" s="1">
        <v>6500</v>
      </c>
      <c r="F448" s="2">
        <v>15.6</v>
      </c>
      <c r="G448" s="6"/>
      <c r="H448" s="3"/>
      <c r="I448" s="3"/>
      <c r="J448" s="3"/>
      <c r="K448" s="3"/>
      <c r="L448" s="3"/>
      <c r="M448" s="3"/>
      <c r="N448" s="3"/>
      <c r="O448" s="4">
        <f t="shared" si="7"/>
        <v>2.4</v>
      </c>
    </row>
    <row r="449" spans="1:15" x14ac:dyDescent="0.2">
      <c r="A449" t="s">
        <v>517</v>
      </c>
      <c r="B449" t="s">
        <v>518</v>
      </c>
      <c r="C449" t="s">
        <v>11</v>
      </c>
      <c r="D449" t="s">
        <v>526</v>
      </c>
      <c r="E449" s="1">
        <v>4500</v>
      </c>
      <c r="F449" s="2">
        <v>9.5</v>
      </c>
      <c r="G449" s="6"/>
      <c r="H449" s="3"/>
      <c r="I449" s="3"/>
      <c r="J449" s="3"/>
      <c r="K449" s="3"/>
      <c r="L449" s="3"/>
      <c r="M449" s="3"/>
      <c r="N449" s="3"/>
      <c r="O449" s="4">
        <f t="shared" si="7"/>
        <v>2.1111111111111112</v>
      </c>
    </row>
    <row r="450" spans="1:15" x14ac:dyDescent="0.2">
      <c r="A450" t="s">
        <v>517</v>
      </c>
      <c r="B450" t="s">
        <v>518</v>
      </c>
      <c r="C450" t="s">
        <v>11</v>
      </c>
      <c r="D450" t="s">
        <v>527</v>
      </c>
      <c r="E450" s="1">
        <v>3500</v>
      </c>
      <c r="F450" s="2">
        <v>5.5</v>
      </c>
      <c r="G450" s="6"/>
      <c r="H450" s="3"/>
      <c r="I450" s="3"/>
      <c r="J450" s="3"/>
      <c r="K450" s="3"/>
      <c r="L450" s="3"/>
      <c r="M450" s="3"/>
      <c r="N450" s="3"/>
      <c r="O450" s="4">
        <f t="shared" si="7"/>
        <v>1.5714285714285714</v>
      </c>
    </row>
    <row r="451" spans="1:15" x14ac:dyDescent="0.2">
      <c r="A451" t="s">
        <v>517</v>
      </c>
      <c r="B451" t="s">
        <v>518</v>
      </c>
      <c r="C451" t="s">
        <v>11</v>
      </c>
      <c r="D451" t="s">
        <v>528</v>
      </c>
      <c r="E451" s="1">
        <v>4000</v>
      </c>
      <c r="F451" s="2">
        <v>1.8</v>
      </c>
      <c r="G451" s="6"/>
      <c r="H451" s="3"/>
      <c r="I451" s="3"/>
      <c r="J451" s="3"/>
      <c r="K451" s="3"/>
      <c r="L451" s="3"/>
      <c r="M451" s="3"/>
      <c r="N451" s="3"/>
      <c r="O451" s="4">
        <f t="shared" si="7"/>
        <v>0.45</v>
      </c>
    </row>
    <row r="452" spans="1:15" x14ac:dyDescent="0.2">
      <c r="A452" t="s">
        <v>517</v>
      </c>
      <c r="B452" t="s">
        <v>518</v>
      </c>
      <c r="C452" t="s">
        <v>11</v>
      </c>
      <c r="D452" t="s">
        <v>529</v>
      </c>
      <c r="E452" s="1">
        <v>3200</v>
      </c>
      <c r="F452" s="2">
        <v>0.1</v>
      </c>
      <c r="G452" s="6"/>
      <c r="H452" s="3"/>
      <c r="I452" s="3"/>
      <c r="J452" s="3"/>
      <c r="K452" s="3"/>
      <c r="L452" s="3"/>
      <c r="M452" s="3"/>
      <c r="N452" s="3"/>
      <c r="O452" s="4">
        <f t="shared" si="7"/>
        <v>3.125E-2</v>
      </c>
    </row>
    <row r="453" spans="1:15" x14ac:dyDescent="0.2">
      <c r="A453" t="s">
        <v>517</v>
      </c>
      <c r="B453" t="s">
        <v>518</v>
      </c>
      <c r="C453" t="s">
        <v>11</v>
      </c>
      <c r="D453" t="s">
        <v>530</v>
      </c>
      <c r="E453" s="1">
        <v>3000</v>
      </c>
      <c r="F453" s="2">
        <v>0</v>
      </c>
      <c r="G453" s="6"/>
      <c r="H453" s="3"/>
      <c r="I453" s="3"/>
      <c r="J453" s="3"/>
      <c r="K453" s="3"/>
      <c r="L453" s="3"/>
      <c r="M453" s="3"/>
      <c r="N453" s="3"/>
      <c r="O453" s="4">
        <f t="shared" si="7"/>
        <v>0</v>
      </c>
    </row>
    <row r="454" spans="1:15" x14ac:dyDescent="0.2">
      <c r="A454" t="s">
        <v>517</v>
      </c>
      <c r="B454" t="s">
        <v>518</v>
      </c>
      <c r="C454" t="s">
        <v>12</v>
      </c>
      <c r="D454" t="s">
        <v>531</v>
      </c>
      <c r="E454" s="1">
        <v>4000</v>
      </c>
      <c r="F454" s="2">
        <v>11.1</v>
      </c>
      <c r="G454" s="6"/>
      <c r="H454" s="3"/>
      <c r="I454" s="3"/>
      <c r="J454" s="3"/>
      <c r="K454" s="3"/>
      <c r="L454" s="3"/>
      <c r="M454" s="3"/>
      <c r="N454" s="3"/>
      <c r="O454" s="4">
        <f t="shared" si="7"/>
        <v>2.7749999999999999</v>
      </c>
    </row>
    <row r="455" spans="1:15" x14ac:dyDescent="0.2">
      <c r="A455" t="s">
        <v>517</v>
      </c>
      <c r="B455" t="s">
        <v>518</v>
      </c>
      <c r="C455" t="s">
        <v>12</v>
      </c>
      <c r="D455" t="s">
        <v>532</v>
      </c>
      <c r="E455" s="1">
        <v>3000</v>
      </c>
      <c r="F455" s="2">
        <v>4</v>
      </c>
      <c r="G455" s="6"/>
      <c r="H455" s="3"/>
      <c r="I455" s="3"/>
      <c r="J455" s="3"/>
      <c r="K455" s="3"/>
      <c r="L455" s="3"/>
      <c r="M455" s="3"/>
      <c r="N455" s="3"/>
      <c r="O455" s="4">
        <f t="shared" si="7"/>
        <v>1.3333333333333333</v>
      </c>
    </row>
    <row r="456" spans="1:15" x14ac:dyDescent="0.2">
      <c r="A456" t="s">
        <v>517</v>
      </c>
      <c r="B456" t="s">
        <v>518</v>
      </c>
      <c r="C456" t="s">
        <v>12</v>
      </c>
      <c r="D456" t="s">
        <v>533</v>
      </c>
      <c r="E456" s="1">
        <v>2500</v>
      </c>
      <c r="F456" s="2">
        <v>0.5</v>
      </c>
      <c r="G456" s="6"/>
      <c r="H456" s="3"/>
      <c r="I456" s="3"/>
      <c r="J456" s="3"/>
      <c r="K456" s="3"/>
      <c r="L456" s="3"/>
      <c r="M456" s="3"/>
      <c r="N456" s="3"/>
      <c r="O456" s="4">
        <f t="shared" si="7"/>
        <v>0.2</v>
      </c>
    </row>
    <row r="457" spans="1:15" x14ac:dyDescent="0.2">
      <c r="A457" t="s">
        <v>517</v>
      </c>
      <c r="B457" t="s">
        <v>518</v>
      </c>
      <c r="C457" t="s">
        <v>12</v>
      </c>
      <c r="D457" t="s">
        <v>534</v>
      </c>
      <c r="E457" s="1">
        <v>2500</v>
      </c>
      <c r="F457" s="2">
        <v>0</v>
      </c>
      <c r="G457" s="6"/>
      <c r="H457" s="3"/>
      <c r="I457" s="3"/>
      <c r="J457" s="3"/>
      <c r="K457" s="3"/>
      <c r="L457" s="3"/>
      <c r="M457" s="3"/>
      <c r="N457" s="3"/>
      <c r="O457" s="4">
        <f t="shared" si="7"/>
        <v>0</v>
      </c>
    </row>
    <row r="458" spans="1:15" x14ac:dyDescent="0.2">
      <c r="A458" t="s">
        <v>517</v>
      </c>
      <c r="B458" t="s">
        <v>518</v>
      </c>
      <c r="C458" t="s">
        <v>14</v>
      </c>
      <c r="D458" t="s">
        <v>535</v>
      </c>
      <c r="E458" s="1"/>
      <c r="F458" s="2"/>
      <c r="G458" s="6"/>
      <c r="H458" s="3"/>
      <c r="I458" s="3"/>
      <c r="J458" s="3"/>
      <c r="K458" s="3"/>
      <c r="L458" s="3"/>
      <c r="M458" s="3"/>
      <c r="N458" s="3"/>
      <c r="O458" s="4" t="str">
        <f t="shared" si="7"/>
        <v/>
      </c>
    </row>
    <row r="459" spans="1:15" x14ac:dyDescent="0.2">
      <c r="A459" t="s">
        <v>517</v>
      </c>
      <c r="B459" t="s">
        <v>518</v>
      </c>
      <c r="C459" t="s">
        <v>13</v>
      </c>
      <c r="D459" t="s">
        <v>518</v>
      </c>
      <c r="E459" s="1">
        <v>2700</v>
      </c>
      <c r="F459" s="2">
        <v>7.1</v>
      </c>
      <c r="G459" s="6"/>
      <c r="H459" s="3"/>
      <c r="I459" s="3"/>
      <c r="J459" s="3"/>
      <c r="K459" s="3"/>
      <c r="L459" s="3"/>
      <c r="M459" s="3"/>
      <c r="N459" s="3"/>
      <c r="O459" s="4">
        <f t="shared" si="7"/>
        <v>2.6296296296296293</v>
      </c>
    </row>
    <row r="460" spans="1:15" x14ac:dyDescent="0.2">
      <c r="A460" t="s">
        <v>536</v>
      </c>
      <c r="B460" t="s">
        <v>537</v>
      </c>
      <c r="C460" t="s">
        <v>9</v>
      </c>
      <c r="D460" t="s">
        <v>538</v>
      </c>
      <c r="E460" s="1">
        <v>6400</v>
      </c>
      <c r="F460" s="2">
        <v>16</v>
      </c>
      <c r="G460" s="6">
        <v>9.7299999999999998E-2</v>
      </c>
      <c r="H460" s="3">
        <v>0.13300000000000001</v>
      </c>
      <c r="I460" s="3">
        <v>0.13200000000000001</v>
      </c>
      <c r="J460" s="3">
        <v>0</v>
      </c>
      <c r="K460" s="3">
        <v>0</v>
      </c>
      <c r="L460" s="3">
        <v>0</v>
      </c>
      <c r="M460" s="3">
        <v>1</v>
      </c>
      <c r="N460" s="3">
        <v>1.8000000000000002E-2</v>
      </c>
      <c r="O460" s="4">
        <f t="shared" si="7"/>
        <v>2.5</v>
      </c>
    </row>
    <row r="461" spans="1:15" x14ac:dyDescent="0.2">
      <c r="A461" t="s">
        <v>536</v>
      </c>
      <c r="B461" t="s">
        <v>537</v>
      </c>
      <c r="C461" t="s">
        <v>9</v>
      </c>
      <c r="D461" t="s">
        <v>539</v>
      </c>
      <c r="E461" s="1">
        <v>4000</v>
      </c>
      <c r="F461" s="2">
        <v>0</v>
      </c>
      <c r="G461" s="6">
        <v>0</v>
      </c>
      <c r="H461" s="3">
        <v>0</v>
      </c>
      <c r="I461" s="3">
        <v>0</v>
      </c>
      <c r="J461" s="3">
        <v>0</v>
      </c>
      <c r="K461" s="3">
        <v>0</v>
      </c>
      <c r="L461" s="3">
        <v>0</v>
      </c>
      <c r="M461" s="3">
        <v>0</v>
      </c>
      <c r="N461" s="3">
        <v>0</v>
      </c>
      <c r="O461" s="4">
        <f t="shared" si="7"/>
        <v>0</v>
      </c>
    </row>
    <row r="462" spans="1:15" x14ac:dyDescent="0.2">
      <c r="A462" t="s">
        <v>536</v>
      </c>
      <c r="B462" t="s">
        <v>537</v>
      </c>
      <c r="C462" t="s">
        <v>10</v>
      </c>
      <c r="D462" t="s">
        <v>540</v>
      </c>
      <c r="E462" s="1">
        <v>6300</v>
      </c>
      <c r="F462" s="2">
        <v>16.8</v>
      </c>
      <c r="G462" s="6">
        <v>0.17629999999999998</v>
      </c>
      <c r="H462" s="3">
        <v>0.7</v>
      </c>
      <c r="I462" s="3">
        <v>0.74</v>
      </c>
      <c r="J462" s="3">
        <v>0.1</v>
      </c>
      <c r="K462" s="3">
        <v>4.5999999999999999E-2</v>
      </c>
      <c r="L462" s="3">
        <v>0.72499999999999998</v>
      </c>
      <c r="M462" s="3">
        <v>0</v>
      </c>
      <c r="N462" s="3">
        <v>0</v>
      </c>
      <c r="O462" s="4">
        <f t="shared" si="7"/>
        <v>2.666666666666667</v>
      </c>
    </row>
    <row r="463" spans="1:15" x14ac:dyDescent="0.2">
      <c r="A463" t="s">
        <v>536</v>
      </c>
      <c r="B463" t="s">
        <v>537</v>
      </c>
      <c r="C463" t="s">
        <v>10</v>
      </c>
      <c r="D463" t="s">
        <v>541</v>
      </c>
      <c r="E463" s="1">
        <v>4000</v>
      </c>
      <c r="F463" s="2">
        <v>2.9</v>
      </c>
      <c r="G463" s="6">
        <v>0</v>
      </c>
      <c r="H463" s="3">
        <v>8.3000000000000004E-2</v>
      </c>
      <c r="I463" s="3">
        <v>6.6000000000000003E-2</v>
      </c>
      <c r="J463" s="3">
        <v>0.04</v>
      </c>
      <c r="K463" s="3">
        <v>1.7000000000000001E-2</v>
      </c>
      <c r="L463" s="3">
        <v>0</v>
      </c>
      <c r="M463" s="3">
        <v>0</v>
      </c>
      <c r="N463" s="3">
        <v>0</v>
      </c>
      <c r="O463" s="4">
        <f t="shared" si="7"/>
        <v>0.72499999999999998</v>
      </c>
    </row>
    <row r="464" spans="1:15" x14ac:dyDescent="0.2">
      <c r="A464" t="s">
        <v>536</v>
      </c>
      <c r="B464" t="s">
        <v>537</v>
      </c>
      <c r="C464" t="s">
        <v>10</v>
      </c>
      <c r="D464" t="s">
        <v>542</v>
      </c>
      <c r="E464" s="1">
        <v>4000</v>
      </c>
      <c r="F464" s="2">
        <v>0.7</v>
      </c>
      <c r="G464" s="6">
        <v>2.0000000000000001E-4</v>
      </c>
      <c r="H464" s="3">
        <v>1.2E-2</v>
      </c>
      <c r="I464" s="3">
        <v>1.1000000000000001E-2</v>
      </c>
      <c r="J464" s="3">
        <v>9.0000000000000011E-3</v>
      </c>
      <c r="K464" s="3">
        <v>0.01</v>
      </c>
      <c r="L464" s="3">
        <v>0.80099999999999993</v>
      </c>
      <c r="M464" s="3">
        <v>0</v>
      </c>
      <c r="N464" s="3">
        <v>0</v>
      </c>
      <c r="O464" s="4">
        <f t="shared" si="7"/>
        <v>0.17499999999999999</v>
      </c>
    </row>
    <row r="465" spans="1:15" x14ac:dyDescent="0.2">
      <c r="A465" t="s">
        <v>536</v>
      </c>
      <c r="B465" t="s">
        <v>537</v>
      </c>
      <c r="C465" t="s">
        <v>10</v>
      </c>
      <c r="D465" t="s">
        <v>543</v>
      </c>
      <c r="E465" s="1">
        <v>4300</v>
      </c>
      <c r="F465" s="2">
        <v>0</v>
      </c>
      <c r="G465" s="6">
        <v>2.7000000000000001E-3</v>
      </c>
      <c r="H465" s="3">
        <v>0</v>
      </c>
      <c r="I465" s="3">
        <v>0</v>
      </c>
      <c r="J465" s="3">
        <v>0</v>
      </c>
      <c r="K465" s="3">
        <v>0</v>
      </c>
      <c r="L465" s="3">
        <v>0.67299999999999993</v>
      </c>
      <c r="M465" s="3">
        <v>0</v>
      </c>
      <c r="N465" s="3">
        <v>0</v>
      </c>
      <c r="O465" s="4">
        <f t="shared" si="7"/>
        <v>0</v>
      </c>
    </row>
    <row r="466" spans="1:15" x14ac:dyDescent="0.2">
      <c r="A466" t="s">
        <v>536</v>
      </c>
      <c r="B466" t="s">
        <v>537</v>
      </c>
      <c r="C466" t="s">
        <v>11</v>
      </c>
      <c r="D466" t="s">
        <v>544</v>
      </c>
      <c r="E466" s="1">
        <v>7400</v>
      </c>
      <c r="F466" s="2">
        <v>12.2</v>
      </c>
      <c r="G466" s="6">
        <v>0.22519999999999998</v>
      </c>
      <c r="H466" s="3">
        <v>8.0000000000000002E-3</v>
      </c>
      <c r="I466" s="3">
        <v>6.0000000000000001E-3</v>
      </c>
      <c r="J466" s="3">
        <v>0.23100000000000001</v>
      </c>
      <c r="K466" s="3">
        <v>0.23899999999999999</v>
      </c>
      <c r="L466" s="3">
        <v>0.65300000000000002</v>
      </c>
      <c r="M466" s="3">
        <v>0</v>
      </c>
      <c r="N466" s="3">
        <v>0</v>
      </c>
      <c r="O466" s="4">
        <f t="shared" si="7"/>
        <v>1.6486486486486485</v>
      </c>
    </row>
    <row r="467" spans="1:15" x14ac:dyDescent="0.2">
      <c r="A467" t="s">
        <v>536</v>
      </c>
      <c r="B467" t="s">
        <v>537</v>
      </c>
      <c r="C467" t="s">
        <v>11</v>
      </c>
      <c r="D467" t="s">
        <v>545</v>
      </c>
      <c r="E467" s="1">
        <v>6400</v>
      </c>
      <c r="F467" s="2">
        <v>12.2</v>
      </c>
      <c r="G467" s="6">
        <v>0.17120000000000002</v>
      </c>
      <c r="H467" s="3">
        <v>4.0000000000000001E-3</v>
      </c>
      <c r="I467" s="3">
        <v>2E-3</v>
      </c>
      <c r="J467" s="3">
        <v>0.218</v>
      </c>
      <c r="K467" s="3">
        <v>0.26</v>
      </c>
      <c r="L467" s="3">
        <v>0.63300000000000001</v>
      </c>
      <c r="M467" s="3">
        <v>0</v>
      </c>
      <c r="N467" s="3">
        <v>0</v>
      </c>
      <c r="O467" s="4">
        <f t="shared" si="7"/>
        <v>1.9062499999999998</v>
      </c>
    </row>
    <row r="468" spans="1:15" x14ac:dyDescent="0.2">
      <c r="A468" t="s">
        <v>536</v>
      </c>
      <c r="B468" t="s">
        <v>537</v>
      </c>
      <c r="C468" t="s">
        <v>11</v>
      </c>
      <c r="D468" t="s">
        <v>546</v>
      </c>
      <c r="E468" s="1">
        <v>3900</v>
      </c>
      <c r="F468" s="2">
        <v>6.6</v>
      </c>
      <c r="G468" s="6">
        <v>3.5999999999999999E-3</v>
      </c>
      <c r="H468" s="3">
        <v>1.2E-2</v>
      </c>
      <c r="I468" s="3">
        <v>0.01</v>
      </c>
      <c r="J468" s="3">
        <v>0.115</v>
      </c>
      <c r="K468" s="3">
        <v>0.13699999999999998</v>
      </c>
      <c r="L468" s="3">
        <v>0.70200000000000007</v>
      </c>
      <c r="M468" s="3">
        <v>0</v>
      </c>
      <c r="N468" s="3">
        <v>0</v>
      </c>
      <c r="O468" s="4">
        <f t="shared" si="7"/>
        <v>1.6923076923076923</v>
      </c>
    </row>
    <row r="469" spans="1:15" x14ac:dyDescent="0.2">
      <c r="A469" t="s">
        <v>536</v>
      </c>
      <c r="B469" t="s">
        <v>537</v>
      </c>
      <c r="C469" t="s">
        <v>11</v>
      </c>
      <c r="D469" t="s">
        <v>547</v>
      </c>
      <c r="E469" s="1">
        <v>3300</v>
      </c>
      <c r="F469" s="2">
        <v>4.7</v>
      </c>
      <c r="G469" s="6">
        <v>3.0000000000000001E-3</v>
      </c>
      <c r="H469" s="3">
        <v>4.8000000000000001E-2</v>
      </c>
      <c r="I469" s="3">
        <v>3.3000000000000002E-2</v>
      </c>
      <c r="J469" s="3">
        <v>6.2E-2</v>
      </c>
      <c r="K469" s="3">
        <v>7.2000000000000008E-2</v>
      </c>
      <c r="L469" s="3">
        <v>0.63300000000000001</v>
      </c>
      <c r="M469" s="3">
        <v>0</v>
      </c>
      <c r="N469" s="3">
        <v>0</v>
      </c>
      <c r="O469" s="4">
        <f t="shared" si="7"/>
        <v>1.4242424242424243</v>
      </c>
    </row>
    <row r="470" spans="1:15" x14ac:dyDescent="0.2">
      <c r="A470" t="s">
        <v>536</v>
      </c>
      <c r="B470" t="s">
        <v>537</v>
      </c>
      <c r="C470" t="s">
        <v>11</v>
      </c>
      <c r="D470" t="s">
        <v>548</v>
      </c>
      <c r="E470" s="1">
        <v>3100</v>
      </c>
      <c r="F470" s="2">
        <v>0.4</v>
      </c>
      <c r="G470" s="6">
        <v>1E-3</v>
      </c>
      <c r="H470" s="3">
        <v>0</v>
      </c>
      <c r="I470" s="3">
        <v>0</v>
      </c>
      <c r="J470" s="3">
        <v>9.0000000000000011E-3</v>
      </c>
      <c r="K470" s="3">
        <v>1.2E-2</v>
      </c>
      <c r="L470" s="3">
        <v>0.433</v>
      </c>
      <c r="M470" s="3">
        <v>0</v>
      </c>
      <c r="N470" s="3">
        <v>0</v>
      </c>
      <c r="O470" s="4">
        <f t="shared" si="7"/>
        <v>0.12903225806451613</v>
      </c>
    </row>
    <row r="471" spans="1:15" x14ac:dyDescent="0.2">
      <c r="A471" t="s">
        <v>536</v>
      </c>
      <c r="B471" t="s">
        <v>537</v>
      </c>
      <c r="C471" t="s">
        <v>11</v>
      </c>
      <c r="D471" t="s">
        <v>549</v>
      </c>
      <c r="E471" s="1">
        <v>3000</v>
      </c>
      <c r="F471" s="2">
        <v>0</v>
      </c>
      <c r="G471" s="6">
        <v>1E-4</v>
      </c>
      <c r="H471" s="3">
        <v>0</v>
      </c>
      <c r="I471" s="3">
        <v>0</v>
      </c>
      <c r="J471" s="3">
        <v>0</v>
      </c>
      <c r="K471" s="3">
        <v>0</v>
      </c>
      <c r="L471" s="3">
        <v>0.63</v>
      </c>
      <c r="M471" s="3">
        <v>0</v>
      </c>
      <c r="N471" s="3">
        <v>0</v>
      </c>
      <c r="O471" s="4">
        <f t="shared" si="7"/>
        <v>0</v>
      </c>
    </row>
    <row r="472" spans="1:15" x14ac:dyDescent="0.2">
      <c r="A472" t="s">
        <v>536</v>
      </c>
      <c r="B472" t="s">
        <v>537</v>
      </c>
      <c r="C472" t="s">
        <v>12</v>
      </c>
      <c r="D472" t="s">
        <v>550</v>
      </c>
      <c r="E472" s="1">
        <v>3900</v>
      </c>
      <c r="F472" s="2">
        <v>7.8</v>
      </c>
      <c r="G472" s="6">
        <v>2.2799999999999997E-2</v>
      </c>
      <c r="H472" s="3">
        <v>0</v>
      </c>
      <c r="I472" s="3">
        <v>0</v>
      </c>
      <c r="J472" s="3">
        <v>0.156</v>
      </c>
      <c r="K472" s="3">
        <v>0.17199999999999999</v>
      </c>
      <c r="L472" s="3">
        <v>0.748</v>
      </c>
      <c r="M472" s="3">
        <v>0</v>
      </c>
      <c r="N472" s="3">
        <v>0</v>
      </c>
      <c r="O472" s="4">
        <f t="shared" si="7"/>
        <v>2</v>
      </c>
    </row>
    <row r="473" spans="1:15" x14ac:dyDescent="0.2">
      <c r="A473" t="s">
        <v>536</v>
      </c>
      <c r="B473" t="s">
        <v>537</v>
      </c>
      <c r="C473" t="s">
        <v>12</v>
      </c>
      <c r="D473" t="s">
        <v>551</v>
      </c>
      <c r="E473" s="1">
        <v>2500</v>
      </c>
      <c r="F473" s="2">
        <v>1.9</v>
      </c>
      <c r="G473" s="6">
        <v>1E-4</v>
      </c>
      <c r="H473" s="3">
        <v>0</v>
      </c>
      <c r="I473" s="3">
        <v>0</v>
      </c>
      <c r="J473" s="3">
        <v>3.7000000000000005E-2</v>
      </c>
      <c r="K473" s="3">
        <v>3.7000000000000005E-2</v>
      </c>
      <c r="L473" s="3">
        <v>0.7</v>
      </c>
      <c r="M473" s="3">
        <v>0</v>
      </c>
      <c r="N473" s="3">
        <v>0</v>
      </c>
      <c r="O473" s="4">
        <f t="shared" si="7"/>
        <v>0.76</v>
      </c>
    </row>
    <row r="474" spans="1:15" x14ac:dyDescent="0.2">
      <c r="A474" t="s">
        <v>536</v>
      </c>
      <c r="B474" t="s">
        <v>537</v>
      </c>
      <c r="C474" t="s">
        <v>12</v>
      </c>
      <c r="D474" t="s">
        <v>552</v>
      </c>
      <c r="E474" s="1">
        <v>2900</v>
      </c>
      <c r="F474" s="2">
        <v>0.9</v>
      </c>
      <c r="G474" s="6">
        <v>2.0000000000000001E-4</v>
      </c>
      <c r="H474" s="3">
        <v>0</v>
      </c>
      <c r="I474" s="3">
        <v>0</v>
      </c>
      <c r="J474" s="3">
        <v>2.2000000000000002E-2</v>
      </c>
      <c r="K474" s="3">
        <v>0</v>
      </c>
      <c r="L474" s="3">
        <v>0.68400000000000005</v>
      </c>
      <c r="M474" s="3">
        <v>0</v>
      </c>
      <c r="N474" s="3">
        <v>0</v>
      </c>
      <c r="O474" s="4">
        <f t="shared" si="7"/>
        <v>0.31034482758620691</v>
      </c>
    </row>
    <row r="475" spans="1:15" x14ac:dyDescent="0.2">
      <c r="A475" t="s">
        <v>536</v>
      </c>
      <c r="B475" t="s">
        <v>537</v>
      </c>
      <c r="C475" t="s">
        <v>14</v>
      </c>
      <c r="D475" t="s">
        <v>553</v>
      </c>
      <c r="E475" s="1"/>
      <c r="F475" s="2"/>
      <c r="G475" s="6">
        <v>0</v>
      </c>
      <c r="H475" s="3"/>
      <c r="I475" s="3"/>
      <c r="J475" s="3"/>
      <c r="K475" s="3"/>
      <c r="L475" s="3"/>
      <c r="M475" s="3"/>
      <c r="N475" s="3"/>
      <c r="O475" s="4" t="str">
        <f t="shared" si="7"/>
        <v/>
      </c>
    </row>
    <row r="476" spans="1:15" x14ac:dyDescent="0.2">
      <c r="A476" t="s">
        <v>536</v>
      </c>
      <c r="B476" t="s">
        <v>537</v>
      </c>
      <c r="C476" t="s">
        <v>13</v>
      </c>
      <c r="D476" t="s">
        <v>537</v>
      </c>
      <c r="E476" s="1">
        <v>2800</v>
      </c>
      <c r="F476" s="2">
        <v>6.3</v>
      </c>
      <c r="G476" s="6">
        <v>3.6299999999999999E-2</v>
      </c>
      <c r="H476" s="3"/>
      <c r="I476" s="3"/>
      <c r="J476" s="3"/>
      <c r="K476" s="3"/>
      <c r="L476" s="3"/>
      <c r="M476" s="3"/>
      <c r="N476" s="3"/>
      <c r="O476" s="4">
        <f t="shared" si="7"/>
        <v>2.25</v>
      </c>
    </row>
    <row r="477" spans="1:15" x14ac:dyDescent="0.2">
      <c r="A477" t="s">
        <v>554</v>
      </c>
      <c r="B477" t="s">
        <v>555</v>
      </c>
      <c r="C477" t="s">
        <v>9</v>
      </c>
      <c r="D477" t="s">
        <v>556</v>
      </c>
      <c r="E477" s="1">
        <v>5600</v>
      </c>
      <c r="F477" s="2">
        <v>19.7</v>
      </c>
      <c r="G477" s="6">
        <v>7.4000000000000003E-3</v>
      </c>
      <c r="H477" s="3">
        <v>0.22</v>
      </c>
      <c r="I477" s="3">
        <v>0.36399999999999999</v>
      </c>
      <c r="J477" s="3">
        <v>0</v>
      </c>
      <c r="K477" s="3">
        <v>0</v>
      </c>
      <c r="L477" s="3">
        <v>0</v>
      </c>
      <c r="M477" s="3">
        <v>1</v>
      </c>
      <c r="N477" s="3">
        <v>1.8000000000000002E-2</v>
      </c>
      <c r="O477" s="4">
        <f t="shared" si="7"/>
        <v>3.5178571428571428</v>
      </c>
    </row>
    <row r="478" spans="1:15" x14ac:dyDescent="0.2">
      <c r="A478" t="s">
        <v>554</v>
      </c>
      <c r="B478" t="s">
        <v>555</v>
      </c>
      <c r="C478" t="s">
        <v>9</v>
      </c>
      <c r="D478" t="s">
        <v>557</v>
      </c>
      <c r="E478" s="1">
        <v>4000</v>
      </c>
      <c r="F478" s="2">
        <v>0</v>
      </c>
      <c r="G478" s="6">
        <v>0</v>
      </c>
      <c r="H478" s="3">
        <v>0</v>
      </c>
      <c r="I478" s="3">
        <v>0</v>
      </c>
      <c r="J478" s="3">
        <v>0</v>
      </c>
      <c r="K478" s="3">
        <v>0</v>
      </c>
      <c r="L478" s="3">
        <v>0</v>
      </c>
      <c r="M478" s="3">
        <v>0</v>
      </c>
      <c r="N478" s="3">
        <v>0</v>
      </c>
      <c r="O478" s="4">
        <f t="shared" si="7"/>
        <v>0</v>
      </c>
    </row>
    <row r="479" spans="1:15" x14ac:dyDescent="0.2">
      <c r="A479" t="s">
        <v>554</v>
      </c>
      <c r="B479" t="s">
        <v>555</v>
      </c>
      <c r="C479" t="s">
        <v>10</v>
      </c>
      <c r="D479" t="s">
        <v>558</v>
      </c>
      <c r="E479" s="1">
        <v>5800</v>
      </c>
      <c r="F479" s="2">
        <v>13.3</v>
      </c>
      <c r="G479" s="6">
        <v>5.0099999999999999E-2</v>
      </c>
      <c r="H479" s="3">
        <v>0.502</v>
      </c>
      <c r="I479" s="3">
        <v>0.51</v>
      </c>
      <c r="J479" s="3">
        <v>9.1999999999999998E-2</v>
      </c>
      <c r="K479" s="3">
        <v>4.2000000000000003E-2</v>
      </c>
      <c r="L479" s="3">
        <v>0.76</v>
      </c>
      <c r="M479" s="3">
        <v>0</v>
      </c>
      <c r="N479" s="3">
        <v>0</v>
      </c>
      <c r="O479" s="4">
        <f t="shared" si="7"/>
        <v>2.2931034482758621</v>
      </c>
    </row>
    <row r="480" spans="1:15" x14ac:dyDescent="0.2">
      <c r="A480" t="s">
        <v>554</v>
      </c>
      <c r="B480" t="s">
        <v>555</v>
      </c>
      <c r="C480" t="s">
        <v>10</v>
      </c>
      <c r="D480" t="s">
        <v>559</v>
      </c>
      <c r="E480" s="1">
        <v>4800</v>
      </c>
      <c r="F480" s="2">
        <v>3.7</v>
      </c>
      <c r="G480" s="6">
        <v>4.7999999999999996E-3</v>
      </c>
      <c r="H480" s="3">
        <v>0.11599999999999999</v>
      </c>
      <c r="I480" s="3">
        <v>4.7E-2</v>
      </c>
      <c r="J480" s="3">
        <v>4.9000000000000002E-2</v>
      </c>
      <c r="K480" s="3">
        <v>2.3E-2</v>
      </c>
      <c r="L480" s="3">
        <v>0.7390000000000001</v>
      </c>
      <c r="M480" s="3">
        <v>0</v>
      </c>
      <c r="N480" s="3">
        <v>0</v>
      </c>
      <c r="O480" s="4">
        <f t="shared" si="7"/>
        <v>0.77083333333333337</v>
      </c>
    </row>
    <row r="481" spans="1:15" x14ac:dyDescent="0.2">
      <c r="A481" t="s">
        <v>554</v>
      </c>
      <c r="B481" t="s">
        <v>555</v>
      </c>
      <c r="C481" t="s">
        <v>10</v>
      </c>
      <c r="D481" t="s">
        <v>560</v>
      </c>
      <c r="E481" s="1">
        <v>4300</v>
      </c>
      <c r="F481" s="2">
        <v>2.2999999999999998</v>
      </c>
      <c r="G481" s="6">
        <v>2.5000000000000001E-3</v>
      </c>
      <c r="H481" s="3">
        <v>0.11199999999999999</v>
      </c>
      <c r="I481" s="3">
        <v>5.2999999999999999E-2</v>
      </c>
      <c r="J481" s="3">
        <v>1.7000000000000001E-2</v>
      </c>
      <c r="K481" s="3">
        <v>8.0000000000000002E-3</v>
      </c>
      <c r="L481" s="3">
        <v>0.78700000000000003</v>
      </c>
      <c r="M481" s="3">
        <v>0</v>
      </c>
      <c r="N481" s="3">
        <v>0</v>
      </c>
      <c r="O481" s="4">
        <f t="shared" si="7"/>
        <v>0.53488372093023251</v>
      </c>
    </row>
    <row r="482" spans="1:15" x14ac:dyDescent="0.2">
      <c r="A482" t="s">
        <v>554</v>
      </c>
      <c r="B482" t="s">
        <v>555</v>
      </c>
      <c r="C482" t="s">
        <v>10</v>
      </c>
      <c r="D482" t="s">
        <v>561</v>
      </c>
      <c r="E482" s="1">
        <v>4000</v>
      </c>
      <c r="F482" s="2">
        <v>0.9</v>
      </c>
      <c r="G482" s="6">
        <v>2.0000000000000001E-4</v>
      </c>
      <c r="H482" s="3">
        <v>3.7000000000000005E-2</v>
      </c>
      <c r="I482" s="3">
        <v>0.02</v>
      </c>
      <c r="J482" s="3">
        <v>9.0000000000000011E-3</v>
      </c>
      <c r="K482" s="3">
        <v>3.0000000000000001E-3</v>
      </c>
      <c r="L482" s="3">
        <v>0.88099999999999989</v>
      </c>
      <c r="M482" s="3">
        <v>0</v>
      </c>
      <c r="N482" s="3">
        <v>0</v>
      </c>
      <c r="O482" s="4">
        <f t="shared" si="7"/>
        <v>0.22500000000000001</v>
      </c>
    </row>
    <row r="483" spans="1:15" x14ac:dyDescent="0.2">
      <c r="A483" t="s">
        <v>554</v>
      </c>
      <c r="B483" t="s">
        <v>555</v>
      </c>
      <c r="C483" t="s">
        <v>10</v>
      </c>
      <c r="D483" t="s">
        <v>562</v>
      </c>
      <c r="E483" s="1">
        <v>4000</v>
      </c>
      <c r="F483" s="2">
        <v>0.7</v>
      </c>
      <c r="G483" s="6">
        <v>1E-4</v>
      </c>
      <c r="H483" s="3">
        <v>0</v>
      </c>
      <c r="I483" s="3">
        <v>0</v>
      </c>
      <c r="J483" s="3">
        <v>1.3999999999999999E-2</v>
      </c>
      <c r="K483" s="3">
        <v>6.0000000000000001E-3</v>
      </c>
      <c r="L483" s="3">
        <v>0.70799999999999996</v>
      </c>
      <c r="M483" s="3">
        <v>0</v>
      </c>
      <c r="N483" s="3">
        <v>0</v>
      </c>
      <c r="O483" s="4">
        <f t="shared" si="7"/>
        <v>0.17499999999999999</v>
      </c>
    </row>
    <row r="484" spans="1:15" x14ac:dyDescent="0.2">
      <c r="A484" t="s">
        <v>554</v>
      </c>
      <c r="B484" t="s">
        <v>555</v>
      </c>
      <c r="C484" t="s">
        <v>11</v>
      </c>
      <c r="D484" t="s">
        <v>563</v>
      </c>
      <c r="E484" s="1">
        <v>4300</v>
      </c>
      <c r="F484" s="2">
        <v>7.4</v>
      </c>
      <c r="G484" s="6">
        <v>7.4000000000000003E-3</v>
      </c>
      <c r="H484" s="3">
        <v>0</v>
      </c>
      <c r="I484" s="3">
        <v>0</v>
      </c>
      <c r="J484" s="3">
        <v>0.13800000000000001</v>
      </c>
      <c r="K484" s="3">
        <v>0.159</v>
      </c>
      <c r="L484" s="3">
        <v>0.63</v>
      </c>
      <c r="M484" s="3">
        <v>0</v>
      </c>
      <c r="N484" s="3">
        <v>0</v>
      </c>
      <c r="O484" s="4">
        <f t="shared" si="7"/>
        <v>1.7209302325581397</v>
      </c>
    </row>
    <row r="485" spans="1:15" x14ac:dyDescent="0.2">
      <c r="A485" t="s">
        <v>554</v>
      </c>
      <c r="B485" t="s">
        <v>555</v>
      </c>
      <c r="C485" t="s">
        <v>11</v>
      </c>
      <c r="D485" t="s">
        <v>564</v>
      </c>
      <c r="E485" s="1">
        <v>4000</v>
      </c>
      <c r="F485" s="2">
        <v>5.0999999999999996</v>
      </c>
      <c r="G485" s="6">
        <v>3.0999999999999999E-3</v>
      </c>
      <c r="H485" s="3">
        <v>0</v>
      </c>
      <c r="I485" s="3">
        <v>0</v>
      </c>
      <c r="J485" s="3">
        <v>0.10400000000000001</v>
      </c>
      <c r="K485" s="3">
        <v>0.11199999999999999</v>
      </c>
      <c r="L485" s="3">
        <v>0.54500000000000004</v>
      </c>
      <c r="M485" s="3">
        <v>0</v>
      </c>
      <c r="N485" s="3">
        <v>0</v>
      </c>
      <c r="O485" s="4">
        <f t="shared" si="7"/>
        <v>1.2749999999999999</v>
      </c>
    </row>
    <row r="486" spans="1:15" x14ac:dyDescent="0.2">
      <c r="A486" t="s">
        <v>554</v>
      </c>
      <c r="B486" t="s">
        <v>555</v>
      </c>
      <c r="C486" t="s">
        <v>11</v>
      </c>
      <c r="D486" t="s">
        <v>565</v>
      </c>
      <c r="E486" s="1">
        <v>3200</v>
      </c>
      <c r="F486" s="2">
        <v>0.6</v>
      </c>
      <c r="G486" s="6">
        <v>2.5000000000000001E-3</v>
      </c>
      <c r="H486" s="3">
        <v>0</v>
      </c>
      <c r="I486" s="3">
        <v>0</v>
      </c>
      <c r="J486" s="3">
        <v>1.1000000000000001E-2</v>
      </c>
      <c r="K486" s="3">
        <v>1.2E-2</v>
      </c>
      <c r="L486" s="3">
        <v>0.55200000000000005</v>
      </c>
      <c r="M486" s="3">
        <v>0</v>
      </c>
      <c r="N486" s="3">
        <v>0</v>
      </c>
      <c r="O486" s="4">
        <f t="shared" si="7"/>
        <v>0.18749999999999997</v>
      </c>
    </row>
    <row r="487" spans="1:15" x14ac:dyDescent="0.2">
      <c r="A487" t="s">
        <v>554</v>
      </c>
      <c r="B487" t="s">
        <v>555</v>
      </c>
      <c r="C487" t="s">
        <v>11</v>
      </c>
      <c r="D487" t="s">
        <v>566</v>
      </c>
      <c r="E487" s="1">
        <v>4200</v>
      </c>
      <c r="F487" s="2">
        <v>0</v>
      </c>
      <c r="G487" s="6">
        <v>6.3E-3</v>
      </c>
      <c r="H487" s="3">
        <v>0</v>
      </c>
      <c r="I487" s="3">
        <v>0</v>
      </c>
      <c r="J487" s="3">
        <v>0</v>
      </c>
      <c r="K487" s="3">
        <v>0</v>
      </c>
      <c r="L487" s="3">
        <v>0.57200000000000006</v>
      </c>
      <c r="M487" s="3">
        <v>0</v>
      </c>
      <c r="N487" s="3">
        <v>0</v>
      </c>
      <c r="O487" s="4">
        <f t="shared" si="7"/>
        <v>0</v>
      </c>
    </row>
    <row r="488" spans="1:15" x14ac:dyDescent="0.2">
      <c r="A488" t="s">
        <v>554</v>
      </c>
      <c r="B488" t="s">
        <v>555</v>
      </c>
      <c r="C488" t="s">
        <v>12</v>
      </c>
      <c r="D488" t="s">
        <v>567</v>
      </c>
      <c r="E488" s="1">
        <v>4300</v>
      </c>
      <c r="F488" s="2">
        <v>8.6999999999999993</v>
      </c>
      <c r="G488" s="6">
        <v>3.1800000000000002E-2</v>
      </c>
      <c r="H488" s="3">
        <v>0</v>
      </c>
      <c r="I488" s="3">
        <v>0</v>
      </c>
      <c r="J488" s="3">
        <v>0.159</v>
      </c>
      <c r="K488" s="3">
        <v>0.185</v>
      </c>
      <c r="L488" s="3">
        <v>0.73299999999999998</v>
      </c>
      <c r="M488" s="3">
        <v>0</v>
      </c>
      <c r="N488" s="3">
        <v>0</v>
      </c>
      <c r="O488" s="4">
        <f t="shared" ref="O488:O551" si="8">IFERROR(F488/(E488/1000),"")</f>
        <v>2.0232558139534884</v>
      </c>
    </row>
    <row r="489" spans="1:15" x14ac:dyDescent="0.2">
      <c r="A489" t="s">
        <v>554</v>
      </c>
      <c r="B489" t="s">
        <v>555</v>
      </c>
      <c r="C489" t="s">
        <v>12</v>
      </c>
      <c r="D489" t="s">
        <v>568</v>
      </c>
      <c r="E489" s="1">
        <v>2800</v>
      </c>
      <c r="F489" s="2">
        <v>4.9000000000000004</v>
      </c>
      <c r="G489" s="6">
        <v>7.000000000000001E-4</v>
      </c>
      <c r="H489" s="3">
        <v>0</v>
      </c>
      <c r="I489" s="3">
        <v>0</v>
      </c>
      <c r="J489" s="3">
        <v>0.121</v>
      </c>
      <c r="K489" s="3">
        <v>0.11900000000000001</v>
      </c>
      <c r="L489" s="3">
        <v>0.6409999999999999</v>
      </c>
      <c r="M489" s="3">
        <v>0</v>
      </c>
      <c r="N489" s="3">
        <v>0</v>
      </c>
      <c r="O489" s="4">
        <f t="shared" si="8"/>
        <v>1.7500000000000002</v>
      </c>
    </row>
    <row r="490" spans="1:15" x14ac:dyDescent="0.2">
      <c r="A490" t="s">
        <v>554</v>
      </c>
      <c r="B490" t="s">
        <v>555</v>
      </c>
      <c r="C490" t="s">
        <v>12</v>
      </c>
      <c r="D490" t="s">
        <v>569</v>
      </c>
      <c r="E490" s="1">
        <v>2500</v>
      </c>
      <c r="F490" s="2">
        <v>0.5</v>
      </c>
      <c r="G490" s="6">
        <v>0</v>
      </c>
      <c r="H490" s="3">
        <v>0</v>
      </c>
      <c r="I490" s="3">
        <v>0</v>
      </c>
      <c r="J490" s="3">
        <v>9.0000000000000011E-3</v>
      </c>
      <c r="K490" s="3">
        <v>0.01</v>
      </c>
      <c r="L490" s="3">
        <v>0.70499999999999996</v>
      </c>
      <c r="M490" s="3">
        <v>0</v>
      </c>
      <c r="N490" s="3">
        <v>0</v>
      </c>
      <c r="O490" s="4">
        <f t="shared" si="8"/>
        <v>0.2</v>
      </c>
    </row>
    <row r="491" spans="1:15" x14ac:dyDescent="0.2">
      <c r="A491" t="s">
        <v>554</v>
      </c>
      <c r="B491" t="s">
        <v>555</v>
      </c>
      <c r="C491" t="s">
        <v>12</v>
      </c>
      <c r="D491" t="s">
        <v>570</v>
      </c>
      <c r="E491" s="1">
        <v>2500</v>
      </c>
      <c r="F491" s="2">
        <v>0</v>
      </c>
      <c r="G491" s="6">
        <v>1E-4</v>
      </c>
      <c r="H491" s="3">
        <v>0</v>
      </c>
      <c r="I491" s="3">
        <v>0</v>
      </c>
      <c r="J491" s="3">
        <v>0</v>
      </c>
      <c r="K491" s="3">
        <v>0</v>
      </c>
      <c r="L491" s="3">
        <v>0.72400000000000009</v>
      </c>
      <c r="M491" s="3">
        <v>0</v>
      </c>
      <c r="N491" s="3">
        <v>0</v>
      </c>
      <c r="O491" s="4">
        <f t="shared" si="8"/>
        <v>0</v>
      </c>
    </row>
    <row r="492" spans="1:15" x14ac:dyDescent="0.2">
      <c r="A492" t="s">
        <v>554</v>
      </c>
      <c r="B492" t="s">
        <v>555</v>
      </c>
      <c r="C492" t="s">
        <v>14</v>
      </c>
      <c r="D492" t="s">
        <v>571</v>
      </c>
      <c r="E492" s="1"/>
      <c r="F492" s="2"/>
      <c r="G492" s="6">
        <v>0</v>
      </c>
      <c r="H492" s="3"/>
      <c r="I492" s="3"/>
      <c r="J492" s="3"/>
      <c r="K492" s="3"/>
      <c r="L492" s="3"/>
      <c r="M492" s="3"/>
      <c r="N492" s="3"/>
      <c r="O492" s="4" t="str">
        <f t="shared" si="8"/>
        <v/>
      </c>
    </row>
    <row r="493" spans="1:15" x14ac:dyDescent="0.2">
      <c r="A493" t="s">
        <v>554</v>
      </c>
      <c r="B493" t="s">
        <v>555</v>
      </c>
      <c r="C493" t="s">
        <v>13</v>
      </c>
      <c r="D493" t="s">
        <v>555</v>
      </c>
      <c r="E493" s="1">
        <v>2400</v>
      </c>
      <c r="F493" s="2">
        <v>6.3</v>
      </c>
      <c r="G493" s="6">
        <v>3.2799999999999996E-2</v>
      </c>
      <c r="H493" s="3"/>
      <c r="I493" s="3"/>
      <c r="J493" s="3"/>
      <c r="K493" s="3"/>
      <c r="L493" s="3"/>
      <c r="M493" s="3"/>
      <c r="N493" s="3"/>
      <c r="O493" s="4">
        <f t="shared" si="8"/>
        <v>2.625</v>
      </c>
    </row>
    <row r="494" spans="1:15" x14ac:dyDescent="0.2">
      <c r="A494" t="s">
        <v>572</v>
      </c>
      <c r="B494" t="s">
        <v>573</v>
      </c>
      <c r="C494" t="s">
        <v>9</v>
      </c>
      <c r="D494" t="s">
        <v>574</v>
      </c>
      <c r="E494" s="1">
        <v>5700</v>
      </c>
      <c r="F494" s="2">
        <v>16.899999999999999</v>
      </c>
      <c r="G494" s="6">
        <v>1.0800000000000001E-2</v>
      </c>
      <c r="H494" s="3">
        <v>0.13900000000000001</v>
      </c>
      <c r="I494" s="3">
        <v>0.34200000000000003</v>
      </c>
      <c r="J494" s="3">
        <v>0</v>
      </c>
      <c r="K494" s="3">
        <v>0</v>
      </c>
      <c r="L494" s="3">
        <v>0</v>
      </c>
      <c r="M494" s="3">
        <v>1</v>
      </c>
      <c r="N494" s="3">
        <v>2.5000000000000001E-2</v>
      </c>
      <c r="O494" s="4">
        <f t="shared" si="8"/>
        <v>2.9649122807017538</v>
      </c>
    </row>
    <row r="495" spans="1:15" x14ac:dyDescent="0.2">
      <c r="A495" t="s">
        <v>572</v>
      </c>
      <c r="B495" t="s">
        <v>573</v>
      </c>
      <c r="C495" t="s">
        <v>9</v>
      </c>
      <c r="D495" t="s">
        <v>575</v>
      </c>
      <c r="E495" s="1">
        <v>4000</v>
      </c>
      <c r="F495" s="2">
        <v>0</v>
      </c>
      <c r="G495" s="6">
        <v>0</v>
      </c>
      <c r="H495" s="3">
        <v>0</v>
      </c>
      <c r="I495" s="3">
        <v>0</v>
      </c>
      <c r="J495" s="3">
        <v>0</v>
      </c>
      <c r="K495" s="3">
        <v>0</v>
      </c>
      <c r="L495" s="3">
        <v>0</v>
      </c>
      <c r="M495" s="3">
        <v>0</v>
      </c>
      <c r="N495" s="3">
        <v>0</v>
      </c>
      <c r="O495" s="4">
        <f t="shared" si="8"/>
        <v>0</v>
      </c>
    </row>
    <row r="496" spans="1:15" x14ac:dyDescent="0.2">
      <c r="A496" t="s">
        <v>572</v>
      </c>
      <c r="B496" t="s">
        <v>573</v>
      </c>
      <c r="C496" t="s">
        <v>9</v>
      </c>
      <c r="D496" t="s">
        <v>576</v>
      </c>
      <c r="E496" s="1">
        <v>4000</v>
      </c>
      <c r="F496" s="2">
        <v>0</v>
      </c>
      <c r="G496" s="6">
        <v>0</v>
      </c>
      <c r="H496" s="3">
        <v>0</v>
      </c>
      <c r="I496" s="3">
        <v>0</v>
      </c>
      <c r="J496" s="3">
        <v>0</v>
      </c>
      <c r="K496" s="3">
        <v>0</v>
      </c>
      <c r="L496" s="3">
        <v>0</v>
      </c>
      <c r="M496" s="3">
        <v>0</v>
      </c>
      <c r="N496" s="3">
        <v>0</v>
      </c>
      <c r="O496" s="4">
        <f t="shared" si="8"/>
        <v>0</v>
      </c>
    </row>
    <row r="497" spans="1:15" x14ac:dyDescent="0.2">
      <c r="A497" t="s">
        <v>572</v>
      </c>
      <c r="B497" t="s">
        <v>573</v>
      </c>
      <c r="C497" t="s">
        <v>10</v>
      </c>
      <c r="D497" t="s">
        <v>577</v>
      </c>
      <c r="E497" s="1">
        <v>7500</v>
      </c>
      <c r="F497" s="2">
        <v>19.399999999999999</v>
      </c>
      <c r="G497" s="6">
        <v>0.42280000000000001</v>
      </c>
      <c r="H497" s="3">
        <v>0.6409999999999999</v>
      </c>
      <c r="I497" s="3">
        <v>0.53600000000000003</v>
      </c>
      <c r="J497" s="3">
        <v>0.18600000000000003</v>
      </c>
      <c r="K497" s="3">
        <v>0.21600000000000003</v>
      </c>
      <c r="L497" s="3">
        <v>0.73199999999999998</v>
      </c>
      <c r="M497" s="3">
        <v>0</v>
      </c>
      <c r="N497" s="3">
        <v>0</v>
      </c>
      <c r="O497" s="4">
        <f t="shared" si="8"/>
        <v>2.5866666666666664</v>
      </c>
    </row>
    <row r="498" spans="1:15" x14ac:dyDescent="0.2">
      <c r="A498" t="s">
        <v>572</v>
      </c>
      <c r="B498" t="s">
        <v>573</v>
      </c>
      <c r="C498" t="s">
        <v>10</v>
      </c>
      <c r="D498" t="s">
        <v>578</v>
      </c>
      <c r="E498" s="1">
        <v>4500</v>
      </c>
      <c r="F498" s="2">
        <v>2.5</v>
      </c>
      <c r="G498" s="6">
        <v>4.5000000000000005E-3</v>
      </c>
      <c r="H498" s="3">
        <v>0.187</v>
      </c>
      <c r="I498" s="3">
        <v>9.0999999999999998E-2</v>
      </c>
      <c r="J498" s="3">
        <v>1.1000000000000001E-2</v>
      </c>
      <c r="K498" s="3">
        <v>4.0000000000000001E-3</v>
      </c>
      <c r="L498" s="3">
        <v>0.75800000000000001</v>
      </c>
      <c r="M498" s="3">
        <v>0</v>
      </c>
      <c r="N498" s="3">
        <v>0</v>
      </c>
      <c r="O498" s="4">
        <f t="shared" si="8"/>
        <v>0.55555555555555558</v>
      </c>
    </row>
    <row r="499" spans="1:15" x14ac:dyDescent="0.2">
      <c r="A499" t="s">
        <v>572</v>
      </c>
      <c r="B499" t="s">
        <v>573</v>
      </c>
      <c r="C499" t="s">
        <v>10</v>
      </c>
      <c r="D499" t="s">
        <v>579</v>
      </c>
      <c r="E499" s="1">
        <v>4200</v>
      </c>
      <c r="F499" s="2">
        <v>0.9</v>
      </c>
      <c r="G499" s="6">
        <v>1.9E-3</v>
      </c>
      <c r="H499" s="3">
        <v>1E-3</v>
      </c>
      <c r="I499" s="3">
        <v>1E-3</v>
      </c>
      <c r="J499" s="3">
        <v>1E-3</v>
      </c>
      <c r="K499" s="3">
        <v>1E-3</v>
      </c>
      <c r="L499" s="3">
        <v>0.66700000000000004</v>
      </c>
      <c r="M499" s="3">
        <v>0</v>
      </c>
      <c r="N499" s="3">
        <v>0</v>
      </c>
      <c r="O499" s="4">
        <f t="shared" si="8"/>
        <v>0.21428571428571427</v>
      </c>
    </row>
    <row r="500" spans="1:15" x14ac:dyDescent="0.2">
      <c r="A500" t="s">
        <v>572</v>
      </c>
      <c r="B500" t="s">
        <v>573</v>
      </c>
      <c r="C500" t="s">
        <v>10</v>
      </c>
      <c r="D500" t="s">
        <v>580</v>
      </c>
      <c r="E500" s="1">
        <v>4000</v>
      </c>
      <c r="F500" s="2">
        <v>0</v>
      </c>
      <c r="G500" s="6">
        <v>0</v>
      </c>
      <c r="H500" s="3">
        <v>0</v>
      </c>
      <c r="I500" s="3">
        <v>0</v>
      </c>
      <c r="J500" s="3">
        <v>0</v>
      </c>
      <c r="K500" s="3">
        <v>0</v>
      </c>
      <c r="L500" s="3">
        <v>0</v>
      </c>
      <c r="M500" s="3">
        <v>0</v>
      </c>
      <c r="N500" s="3">
        <v>0</v>
      </c>
      <c r="O500" s="4">
        <f t="shared" si="8"/>
        <v>0</v>
      </c>
    </row>
    <row r="501" spans="1:15" x14ac:dyDescent="0.2">
      <c r="A501" t="s">
        <v>572</v>
      </c>
      <c r="B501" t="s">
        <v>573</v>
      </c>
      <c r="C501" t="s">
        <v>10</v>
      </c>
      <c r="D501" t="s">
        <v>581</v>
      </c>
      <c r="E501" s="1">
        <v>4000</v>
      </c>
      <c r="F501" s="2">
        <v>1.3</v>
      </c>
      <c r="G501" s="6">
        <v>2.0000000000000001E-4</v>
      </c>
      <c r="H501" s="3">
        <v>0</v>
      </c>
      <c r="I501" s="3">
        <v>0</v>
      </c>
      <c r="J501" s="3">
        <v>3.9E-2</v>
      </c>
      <c r="K501" s="3">
        <v>3.9E-2</v>
      </c>
      <c r="L501" s="3">
        <v>0.77</v>
      </c>
      <c r="M501" s="3">
        <v>0</v>
      </c>
      <c r="N501" s="3">
        <v>0</v>
      </c>
      <c r="O501" s="4">
        <f t="shared" si="8"/>
        <v>0.32500000000000001</v>
      </c>
    </row>
    <row r="502" spans="1:15" x14ac:dyDescent="0.2">
      <c r="A502" t="s">
        <v>572</v>
      </c>
      <c r="B502" t="s">
        <v>573</v>
      </c>
      <c r="C502" t="s">
        <v>11</v>
      </c>
      <c r="D502" t="s">
        <v>582</v>
      </c>
      <c r="E502" s="1">
        <v>6100</v>
      </c>
      <c r="F502" s="2">
        <v>10.1</v>
      </c>
      <c r="G502" s="6">
        <v>5.6500000000000002E-2</v>
      </c>
      <c r="H502" s="3">
        <v>0</v>
      </c>
      <c r="I502" s="3">
        <v>0</v>
      </c>
      <c r="J502" s="3">
        <v>0.19699999999999998</v>
      </c>
      <c r="K502" s="3">
        <v>0.214</v>
      </c>
      <c r="L502" s="3">
        <v>0.57600000000000007</v>
      </c>
      <c r="M502" s="3">
        <v>0</v>
      </c>
      <c r="N502" s="3">
        <v>0</v>
      </c>
      <c r="O502" s="4">
        <f t="shared" si="8"/>
        <v>1.6557377049180328</v>
      </c>
    </row>
    <row r="503" spans="1:15" x14ac:dyDescent="0.2">
      <c r="A503" t="s">
        <v>572</v>
      </c>
      <c r="B503" t="s">
        <v>573</v>
      </c>
      <c r="C503" t="s">
        <v>11</v>
      </c>
      <c r="D503" t="s">
        <v>583</v>
      </c>
      <c r="E503" s="1">
        <v>5000</v>
      </c>
      <c r="F503" s="2">
        <v>9.9</v>
      </c>
      <c r="G503" s="6">
        <v>1.52E-2</v>
      </c>
      <c r="H503" s="3">
        <v>0.03</v>
      </c>
      <c r="I503" s="3">
        <v>2.8999999999999998E-2</v>
      </c>
      <c r="J503" s="3">
        <v>0.13600000000000001</v>
      </c>
      <c r="K503" s="3">
        <v>0.13400000000000001</v>
      </c>
      <c r="L503" s="3">
        <v>0.66299999999999992</v>
      </c>
      <c r="M503" s="3">
        <v>0</v>
      </c>
      <c r="N503" s="3">
        <v>0</v>
      </c>
      <c r="O503" s="4">
        <f t="shared" si="8"/>
        <v>1.98</v>
      </c>
    </row>
    <row r="504" spans="1:15" x14ac:dyDescent="0.2">
      <c r="A504" t="s">
        <v>572</v>
      </c>
      <c r="B504" t="s">
        <v>573</v>
      </c>
      <c r="C504" t="s">
        <v>11</v>
      </c>
      <c r="D504" t="s">
        <v>584</v>
      </c>
      <c r="E504" s="1">
        <v>5100</v>
      </c>
      <c r="F504" s="2">
        <v>7.5</v>
      </c>
      <c r="G504" s="6">
        <v>1.5300000000000001E-2</v>
      </c>
      <c r="H504" s="3">
        <v>0</v>
      </c>
      <c r="I504" s="3">
        <v>0</v>
      </c>
      <c r="J504" s="3">
        <v>0.11699999999999999</v>
      </c>
      <c r="K504" s="3">
        <v>0.111</v>
      </c>
      <c r="L504" s="3">
        <v>0.625</v>
      </c>
      <c r="M504" s="3">
        <v>0</v>
      </c>
      <c r="N504" s="3">
        <v>0</v>
      </c>
      <c r="O504" s="4">
        <f t="shared" si="8"/>
        <v>1.4705882352941178</v>
      </c>
    </row>
    <row r="505" spans="1:15" x14ac:dyDescent="0.2">
      <c r="A505" t="s">
        <v>572</v>
      </c>
      <c r="B505" t="s">
        <v>573</v>
      </c>
      <c r="C505" t="s">
        <v>11</v>
      </c>
      <c r="D505" t="s">
        <v>585</v>
      </c>
      <c r="E505" s="1">
        <v>3800</v>
      </c>
      <c r="F505" s="2">
        <v>2.9</v>
      </c>
      <c r="G505" s="6">
        <v>3.4999999999999996E-3</v>
      </c>
      <c r="H505" s="3">
        <v>0</v>
      </c>
      <c r="I505" s="3">
        <v>0</v>
      </c>
      <c r="J505" s="3">
        <v>0.06</v>
      </c>
      <c r="K505" s="3">
        <v>6.0999999999999999E-2</v>
      </c>
      <c r="L505" s="3">
        <v>0.65</v>
      </c>
      <c r="M505" s="3">
        <v>0</v>
      </c>
      <c r="N505" s="3">
        <v>0</v>
      </c>
      <c r="O505" s="4">
        <f t="shared" si="8"/>
        <v>0.76315789473684215</v>
      </c>
    </row>
    <row r="506" spans="1:15" x14ac:dyDescent="0.2">
      <c r="A506" t="s">
        <v>572</v>
      </c>
      <c r="B506" t="s">
        <v>573</v>
      </c>
      <c r="C506" t="s">
        <v>11</v>
      </c>
      <c r="D506" t="s">
        <v>586</v>
      </c>
      <c r="E506" s="1">
        <v>3300</v>
      </c>
      <c r="F506" s="2">
        <v>0.2</v>
      </c>
      <c r="G506" s="6">
        <v>2.7000000000000001E-3</v>
      </c>
      <c r="H506" s="3">
        <v>1E-3</v>
      </c>
      <c r="I506" s="3">
        <v>1E-3</v>
      </c>
      <c r="J506" s="3">
        <v>1E-3</v>
      </c>
      <c r="K506" s="3">
        <v>1E-3</v>
      </c>
      <c r="L506" s="3">
        <v>0.65</v>
      </c>
      <c r="M506" s="3">
        <v>0</v>
      </c>
      <c r="N506" s="3">
        <v>0</v>
      </c>
      <c r="O506" s="4">
        <f t="shared" si="8"/>
        <v>6.0606060606060615E-2</v>
      </c>
    </row>
    <row r="507" spans="1:15" x14ac:dyDescent="0.2">
      <c r="A507" t="s">
        <v>572</v>
      </c>
      <c r="B507" t="s">
        <v>573</v>
      </c>
      <c r="C507" t="s">
        <v>11</v>
      </c>
      <c r="D507" t="s">
        <v>587</v>
      </c>
      <c r="E507" s="1">
        <v>3000</v>
      </c>
      <c r="F507" s="2">
        <v>0</v>
      </c>
      <c r="G507" s="6">
        <v>1E-4</v>
      </c>
      <c r="H507" s="3">
        <v>0</v>
      </c>
      <c r="I507" s="3">
        <v>0</v>
      </c>
      <c r="J507" s="3">
        <v>0</v>
      </c>
      <c r="K507" s="3">
        <v>0</v>
      </c>
      <c r="L507" s="3">
        <v>0.63</v>
      </c>
      <c r="M507" s="3">
        <v>0</v>
      </c>
      <c r="N507" s="3">
        <v>0</v>
      </c>
      <c r="O507" s="4">
        <f t="shared" si="8"/>
        <v>0</v>
      </c>
    </row>
    <row r="508" spans="1:15" x14ac:dyDescent="0.2">
      <c r="A508" t="s">
        <v>572</v>
      </c>
      <c r="B508" t="s">
        <v>573</v>
      </c>
      <c r="C508" t="s">
        <v>12</v>
      </c>
      <c r="D508" t="s">
        <v>588</v>
      </c>
      <c r="E508" s="1">
        <v>4800</v>
      </c>
      <c r="F508" s="2">
        <v>8</v>
      </c>
      <c r="G508" s="6">
        <v>5.6799999999999996E-2</v>
      </c>
      <c r="H508" s="3">
        <v>0</v>
      </c>
      <c r="I508" s="3">
        <v>0</v>
      </c>
      <c r="J508" s="3">
        <v>0.183</v>
      </c>
      <c r="K508" s="3">
        <v>0.19699999999999998</v>
      </c>
      <c r="L508" s="3">
        <v>0.76900000000000002</v>
      </c>
      <c r="M508" s="3">
        <v>0</v>
      </c>
      <c r="N508" s="3">
        <v>0</v>
      </c>
      <c r="O508" s="4">
        <f t="shared" si="8"/>
        <v>1.6666666666666667</v>
      </c>
    </row>
    <row r="509" spans="1:15" x14ac:dyDescent="0.2">
      <c r="A509" t="s">
        <v>572</v>
      </c>
      <c r="B509" t="s">
        <v>573</v>
      </c>
      <c r="C509" t="s">
        <v>12</v>
      </c>
      <c r="D509" t="s">
        <v>589</v>
      </c>
      <c r="E509" s="1">
        <v>3300</v>
      </c>
      <c r="F509" s="2">
        <v>1.9</v>
      </c>
      <c r="G509" s="6">
        <v>7.3000000000000001E-3</v>
      </c>
      <c r="H509" s="3">
        <v>0</v>
      </c>
      <c r="I509" s="3">
        <v>0</v>
      </c>
      <c r="J509" s="3">
        <v>4.5999999999999999E-2</v>
      </c>
      <c r="K509" s="3">
        <v>0</v>
      </c>
      <c r="L509" s="3">
        <v>0.69</v>
      </c>
      <c r="M509" s="3">
        <v>0</v>
      </c>
      <c r="N509" s="3">
        <v>0</v>
      </c>
      <c r="O509" s="4">
        <f t="shared" si="8"/>
        <v>0.5757575757575758</v>
      </c>
    </row>
    <row r="510" spans="1:15" x14ac:dyDescent="0.2">
      <c r="A510" t="s">
        <v>572</v>
      </c>
      <c r="B510" t="s">
        <v>573</v>
      </c>
      <c r="C510" t="s">
        <v>12</v>
      </c>
      <c r="D510" t="s">
        <v>590</v>
      </c>
      <c r="E510" s="1">
        <v>2500</v>
      </c>
      <c r="F510" s="2">
        <v>1.1000000000000001</v>
      </c>
      <c r="G510" s="6">
        <v>1E-4</v>
      </c>
      <c r="H510" s="3">
        <v>0</v>
      </c>
      <c r="I510" s="3">
        <v>0</v>
      </c>
      <c r="J510" s="3">
        <v>2.2000000000000002E-2</v>
      </c>
      <c r="K510" s="3">
        <v>2.1000000000000001E-2</v>
      </c>
      <c r="L510" s="3">
        <v>0.7</v>
      </c>
      <c r="M510" s="3">
        <v>0</v>
      </c>
      <c r="N510" s="3">
        <v>0</v>
      </c>
      <c r="O510" s="4">
        <f t="shared" si="8"/>
        <v>0.44000000000000006</v>
      </c>
    </row>
    <row r="511" spans="1:15" x14ac:dyDescent="0.2">
      <c r="A511" t="s">
        <v>572</v>
      </c>
      <c r="B511" t="s">
        <v>573</v>
      </c>
      <c r="C511" t="s">
        <v>14</v>
      </c>
      <c r="D511" t="s">
        <v>591</v>
      </c>
      <c r="E511" s="1"/>
      <c r="F511" s="2"/>
      <c r="G511" s="6">
        <v>0</v>
      </c>
      <c r="H511" s="3"/>
      <c r="I511" s="3"/>
      <c r="J511" s="3"/>
      <c r="K511" s="3"/>
      <c r="L511" s="3"/>
      <c r="M511" s="3"/>
      <c r="N511" s="3"/>
      <c r="O511" s="4" t="str">
        <f t="shared" si="8"/>
        <v/>
      </c>
    </row>
    <row r="512" spans="1:15" x14ac:dyDescent="0.2">
      <c r="A512" t="s">
        <v>572</v>
      </c>
      <c r="B512" t="s">
        <v>573</v>
      </c>
      <c r="C512" t="s">
        <v>13</v>
      </c>
      <c r="D512" t="s">
        <v>573</v>
      </c>
      <c r="E512" s="1">
        <v>2300</v>
      </c>
      <c r="F512" s="2">
        <v>5.6</v>
      </c>
      <c r="G512" s="6">
        <v>2.9300000000000003E-2</v>
      </c>
      <c r="H512" s="3"/>
      <c r="I512" s="3"/>
      <c r="J512" s="3"/>
      <c r="K512" s="3"/>
      <c r="L512" s="3"/>
      <c r="M512" s="3"/>
      <c r="N512" s="3"/>
      <c r="O512" s="4">
        <f t="shared" si="8"/>
        <v>2.4347826086956523</v>
      </c>
    </row>
    <row r="513" spans="1:15" x14ac:dyDescent="0.2">
      <c r="A513" t="s">
        <v>592</v>
      </c>
      <c r="B513" t="s">
        <v>593</v>
      </c>
      <c r="C513" t="s">
        <v>9</v>
      </c>
      <c r="D513" t="s">
        <v>594</v>
      </c>
      <c r="E513" s="1">
        <v>6200</v>
      </c>
      <c r="F513" s="2">
        <v>16.399999999999999</v>
      </c>
      <c r="G513" s="6">
        <v>5.6600000000000004E-2</v>
      </c>
      <c r="H513" s="3">
        <v>4.2999999999999997E-2</v>
      </c>
      <c r="I513" s="3">
        <v>0.02</v>
      </c>
      <c r="J513" s="3">
        <v>0</v>
      </c>
      <c r="K513" s="3">
        <v>0</v>
      </c>
      <c r="L513" s="3">
        <v>0</v>
      </c>
      <c r="M513" s="3">
        <v>1</v>
      </c>
      <c r="N513" s="3">
        <v>1.7000000000000001E-2</v>
      </c>
      <c r="O513" s="4">
        <f t="shared" si="8"/>
        <v>2.6451612903225805</v>
      </c>
    </row>
    <row r="514" spans="1:15" x14ac:dyDescent="0.2">
      <c r="A514" t="s">
        <v>592</v>
      </c>
      <c r="B514" t="s">
        <v>593</v>
      </c>
      <c r="C514" t="s">
        <v>9</v>
      </c>
      <c r="D514" t="s">
        <v>595</v>
      </c>
      <c r="E514" s="1">
        <v>4000</v>
      </c>
      <c r="F514" s="2">
        <v>0</v>
      </c>
      <c r="G514" s="6">
        <v>0</v>
      </c>
      <c r="H514" s="3">
        <v>0</v>
      </c>
      <c r="I514" s="3">
        <v>0</v>
      </c>
      <c r="J514" s="3">
        <v>0</v>
      </c>
      <c r="K514" s="3">
        <v>0</v>
      </c>
      <c r="L514" s="3">
        <v>0</v>
      </c>
      <c r="M514" s="3">
        <v>0</v>
      </c>
      <c r="N514" s="3">
        <v>0</v>
      </c>
      <c r="O514" s="4">
        <f t="shared" si="8"/>
        <v>0</v>
      </c>
    </row>
    <row r="515" spans="1:15" x14ac:dyDescent="0.2">
      <c r="A515" t="s">
        <v>592</v>
      </c>
      <c r="B515" t="s">
        <v>593</v>
      </c>
      <c r="C515" t="s">
        <v>9</v>
      </c>
      <c r="D515" t="s">
        <v>596</v>
      </c>
      <c r="E515" s="1">
        <v>4000</v>
      </c>
      <c r="F515" s="2">
        <v>0</v>
      </c>
      <c r="G515" s="6">
        <v>0</v>
      </c>
      <c r="H515" s="3">
        <v>0</v>
      </c>
      <c r="I515" s="3">
        <v>0</v>
      </c>
      <c r="J515" s="3">
        <v>0</v>
      </c>
      <c r="K515" s="3">
        <v>0</v>
      </c>
      <c r="L515" s="3">
        <v>0</v>
      </c>
      <c r="M515" s="3">
        <v>0</v>
      </c>
      <c r="N515" s="3">
        <v>0</v>
      </c>
      <c r="O515" s="4">
        <f t="shared" si="8"/>
        <v>0</v>
      </c>
    </row>
    <row r="516" spans="1:15" x14ac:dyDescent="0.2">
      <c r="A516" t="s">
        <v>592</v>
      </c>
      <c r="B516" t="s">
        <v>593</v>
      </c>
      <c r="C516" t="s">
        <v>10</v>
      </c>
      <c r="D516" t="s">
        <v>597</v>
      </c>
      <c r="E516" s="1">
        <v>6200</v>
      </c>
      <c r="F516" s="2">
        <v>13.5</v>
      </c>
      <c r="G516" s="6">
        <v>0.10859999999999999</v>
      </c>
      <c r="H516" s="3">
        <v>0.48</v>
      </c>
      <c r="I516" s="3">
        <v>0.55399999999999994</v>
      </c>
      <c r="J516" s="3">
        <v>7.9000000000000001E-2</v>
      </c>
      <c r="K516" s="3">
        <v>5.9000000000000004E-2</v>
      </c>
      <c r="L516" s="3">
        <v>0.70299999999999996</v>
      </c>
      <c r="M516" s="3">
        <v>0</v>
      </c>
      <c r="N516" s="3">
        <v>0</v>
      </c>
      <c r="O516" s="4">
        <f t="shared" si="8"/>
        <v>2.1774193548387095</v>
      </c>
    </row>
    <row r="517" spans="1:15" x14ac:dyDescent="0.2">
      <c r="A517" t="s">
        <v>592</v>
      </c>
      <c r="B517" t="s">
        <v>593</v>
      </c>
      <c r="C517" t="s">
        <v>10</v>
      </c>
      <c r="D517" t="s">
        <v>598</v>
      </c>
      <c r="E517" s="1">
        <v>5200</v>
      </c>
      <c r="F517" s="2">
        <v>5.4</v>
      </c>
      <c r="G517" s="6">
        <v>2.1299999999999999E-2</v>
      </c>
      <c r="H517" s="3">
        <v>0.43799999999999994</v>
      </c>
      <c r="I517" s="3">
        <v>0.35200000000000004</v>
      </c>
      <c r="J517" s="3">
        <v>0.03</v>
      </c>
      <c r="K517" s="3">
        <v>0.04</v>
      </c>
      <c r="L517" s="3">
        <v>0.66700000000000004</v>
      </c>
      <c r="M517" s="3">
        <v>0</v>
      </c>
      <c r="N517" s="3">
        <v>0</v>
      </c>
      <c r="O517" s="4">
        <f t="shared" si="8"/>
        <v>1.0384615384615385</v>
      </c>
    </row>
    <row r="518" spans="1:15" x14ac:dyDescent="0.2">
      <c r="A518" t="s">
        <v>592</v>
      </c>
      <c r="B518" t="s">
        <v>593</v>
      </c>
      <c r="C518" t="s">
        <v>10</v>
      </c>
      <c r="D518" t="s">
        <v>599</v>
      </c>
      <c r="E518" s="1">
        <v>4000</v>
      </c>
      <c r="F518" s="2">
        <v>0.8</v>
      </c>
      <c r="G518" s="6">
        <v>2.0000000000000001E-4</v>
      </c>
      <c r="H518" s="3">
        <v>0.01</v>
      </c>
      <c r="I518" s="3">
        <v>2E-3</v>
      </c>
      <c r="J518" s="3">
        <v>4.0000000000000001E-3</v>
      </c>
      <c r="K518" s="3">
        <v>1E-3</v>
      </c>
      <c r="L518" s="3">
        <v>0.6</v>
      </c>
      <c r="M518" s="3">
        <v>0</v>
      </c>
      <c r="N518" s="3">
        <v>0</v>
      </c>
      <c r="O518" s="4">
        <f t="shared" si="8"/>
        <v>0.2</v>
      </c>
    </row>
    <row r="519" spans="1:15" x14ac:dyDescent="0.2">
      <c r="A519" t="s">
        <v>592</v>
      </c>
      <c r="B519" t="s">
        <v>593</v>
      </c>
      <c r="C519" t="s">
        <v>11</v>
      </c>
      <c r="D519" t="s">
        <v>600</v>
      </c>
      <c r="E519" s="1">
        <v>7700</v>
      </c>
      <c r="F519" s="2">
        <v>18.600000000000001</v>
      </c>
      <c r="G519" s="6">
        <v>0.38799999999999996</v>
      </c>
      <c r="H519" s="3">
        <v>2.8999999999999998E-2</v>
      </c>
      <c r="I519" s="3">
        <v>7.0999999999999994E-2</v>
      </c>
      <c r="J519" s="3">
        <v>0.307</v>
      </c>
      <c r="K519" s="3">
        <v>0.255</v>
      </c>
      <c r="L519" s="3">
        <v>0.68599999999999994</v>
      </c>
      <c r="M519" s="3">
        <v>0</v>
      </c>
      <c r="N519" s="3">
        <v>0</v>
      </c>
      <c r="O519" s="4">
        <f t="shared" si="8"/>
        <v>2.4155844155844157</v>
      </c>
    </row>
    <row r="520" spans="1:15" x14ac:dyDescent="0.2">
      <c r="A520" t="s">
        <v>592</v>
      </c>
      <c r="B520" t="s">
        <v>593</v>
      </c>
      <c r="C520" t="s">
        <v>11</v>
      </c>
      <c r="D520" t="s">
        <v>601</v>
      </c>
      <c r="E520" s="1">
        <v>6200</v>
      </c>
      <c r="F520" s="2">
        <v>13.8</v>
      </c>
      <c r="G520" s="6">
        <v>0.11650000000000001</v>
      </c>
      <c r="H520" s="3">
        <v>0</v>
      </c>
      <c r="I520" s="3">
        <v>0</v>
      </c>
      <c r="J520" s="3">
        <v>0.23699999999999999</v>
      </c>
      <c r="K520" s="3">
        <v>0.313</v>
      </c>
      <c r="L520" s="3">
        <v>0.61099999999999999</v>
      </c>
      <c r="M520" s="3">
        <v>0</v>
      </c>
      <c r="N520" s="3">
        <v>0</v>
      </c>
      <c r="O520" s="4">
        <f t="shared" si="8"/>
        <v>2.2258064516129035</v>
      </c>
    </row>
    <row r="521" spans="1:15" x14ac:dyDescent="0.2">
      <c r="A521" t="s">
        <v>592</v>
      </c>
      <c r="B521" t="s">
        <v>593</v>
      </c>
      <c r="C521" t="s">
        <v>11</v>
      </c>
      <c r="D521" t="s">
        <v>602</v>
      </c>
      <c r="E521" s="1">
        <v>3500</v>
      </c>
      <c r="F521" s="2">
        <v>2.6</v>
      </c>
      <c r="G521" s="6">
        <v>3.5999999999999999E-3</v>
      </c>
      <c r="H521" s="3">
        <v>0</v>
      </c>
      <c r="I521" s="3">
        <v>0</v>
      </c>
      <c r="J521" s="3">
        <v>0.05</v>
      </c>
      <c r="K521" s="3">
        <v>0.01</v>
      </c>
      <c r="L521" s="3">
        <v>0.67900000000000005</v>
      </c>
      <c r="M521" s="3">
        <v>0</v>
      </c>
      <c r="N521" s="3">
        <v>0</v>
      </c>
      <c r="O521" s="4">
        <f t="shared" si="8"/>
        <v>0.74285714285714288</v>
      </c>
    </row>
    <row r="522" spans="1:15" x14ac:dyDescent="0.2">
      <c r="A522" t="s">
        <v>592</v>
      </c>
      <c r="B522" t="s">
        <v>593</v>
      </c>
      <c r="C522" t="s">
        <v>11</v>
      </c>
      <c r="D522" t="s">
        <v>603</v>
      </c>
      <c r="E522" s="1">
        <v>3000</v>
      </c>
      <c r="F522" s="2">
        <v>1.6</v>
      </c>
      <c r="G522" s="6">
        <v>1E-4</v>
      </c>
      <c r="H522" s="3">
        <v>0</v>
      </c>
      <c r="I522" s="3">
        <v>0</v>
      </c>
      <c r="J522" s="3">
        <v>0.03</v>
      </c>
      <c r="K522" s="3">
        <v>0.01</v>
      </c>
      <c r="L522" s="3">
        <v>0.61599999999999999</v>
      </c>
      <c r="M522" s="3">
        <v>0</v>
      </c>
      <c r="N522" s="3">
        <v>0</v>
      </c>
      <c r="O522" s="4">
        <f t="shared" si="8"/>
        <v>0.53333333333333333</v>
      </c>
    </row>
    <row r="523" spans="1:15" x14ac:dyDescent="0.2">
      <c r="A523" t="s">
        <v>592</v>
      </c>
      <c r="B523" t="s">
        <v>593</v>
      </c>
      <c r="C523" t="s">
        <v>11</v>
      </c>
      <c r="D523" t="s">
        <v>604</v>
      </c>
      <c r="E523" s="1">
        <v>3200</v>
      </c>
      <c r="F523" s="2">
        <v>0.7</v>
      </c>
      <c r="G523" s="6">
        <v>2.5000000000000001E-3</v>
      </c>
      <c r="H523" s="3">
        <v>0</v>
      </c>
      <c r="I523" s="3">
        <v>0</v>
      </c>
      <c r="J523" s="3">
        <v>1.2E-2</v>
      </c>
      <c r="K523" s="3">
        <v>9.0000000000000011E-3</v>
      </c>
      <c r="L523" s="3">
        <v>0.65</v>
      </c>
      <c r="M523" s="3">
        <v>0</v>
      </c>
      <c r="N523" s="3">
        <v>0</v>
      </c>
      <c r="O523" s="4">
        <f t="shared" si="8"/>
        <v>0.21874999999999997</v>
      </c>
    </row>
    <row r="524" spans="1:15" x14ac:dyDescent="0.2">
      <c r="A524" t="s">
        <v>592</v>
      </c>
      <c r="B524" t="s">
        <v>593</v>
      </c>
      <c r="C524" t="s">
        <v>11</v>
      </c>
      <c r="D524" t="s">
        <v>605</v>
      </c>
      <c r="E524" s="1">
        <v>3000</v>
      </c>
      <c r="F524" s="2">
        <v>0</v>
      </c>
      <c r="G524" s="6">
        <v>1E-4</v>
      </c>
      <c r="H524" s="3">
        <v>0</v>
      </c>
      <c r="I524" s="3">
        <v>0</v>
      </c>
      <c r="J524" s="3">
        <v>0</v>
      </c>
      <c r="K524" s="3">
        <v>0</v>
      </c>
      <c r="L524" s="3">
        <v>0.63</v>
      </c>
      <c r="M524" s="3">
        <v>0</v>
      </c>
      <c r="N524" s="3">
        <v>0</v>
      </c>
      <c r="O524" s="4">
        <f t="shared" si="8"/>
        <v>0</v>
      </c>
    </row>
    <row r="525" spans="1:15" x14ac:dyDescent="0.2">
      <c r="A525" t="s">
        <v>592</v>
      </c>
      <c r="B525" t="s">
        <v>593</v>
      </c>
      <c r="C525" t="s">
        <v>11</v>
      </c>
      <c r="D525" t="s">
        <v>606</v>
      </c>
      <c r="E525" s="1">
        <v>3700</v>
      </c>
      <c r="F525" s="2">
        <v>0</v>
      </c>
      <c r="G525" s="6">
        <v>3.4999999999999996E-3</v>
      </c>
      <c r="H525" s="3">
        <v>0</v>
      </c>
      <c r="I525" s="3">
        <v>0</v>
      </c>
      <c r="J525" s="3">
        <v>0</v>
      </c>
      <c r="K525" s="3">
        <v>0</v>
      </c>
      <c r="L525" s="3">
        <v>0.63</v>
      </c>
      <c r="M525" s="3">
        <v>0</v>
      </c>
      <c r="N525" s="3">
        <v>0</v>
      </c>
      <c r="O525" s="4">
        <f t="shared" si="8"/>
        <v>0</v>
      </c>
    </row>
    <row r="526" spans="1:15" x14ac:dyDescent="0.2">
      <c r="A526" t="s">
        <v>592</v>
      </c>
      <c r="B526" t="s">
        <v>593</v>
      </c>
      <c r="C526" t="s">
        <v>12</v>
      </c>
      <c r="D526" t="s">
        <v>607</v>
      </c>
      <c r="E526" s="1">
        <v>3500</v>
      </c>
      <c r="F526" s="2">
        <v>6</v>
      </c>
      <c r="G526" s="6">
        <v>9.300000000000001E-3</v>
      </c>
      <c r="H526" s="3">
        <v>0</v>
      </c>
      <c r="I526" s="3">
        <v>0</v>
      </c>
      <c r="J526" s="3">
        <v>9.8000000000000004E-2</v>
      </c>
      <c r="K526" s="3">
        <v>0.126</v>
      </c>
      <c r="L526" s="3">
        <v>0.69</v>
      </c>
      <c r="M526" s="3">
        <v>0</v>
      </c>
      <c r="N526" s="3">
        <v>0</v>
      </c>
      <c r="O526" s="4">
        <f t="shared" si="8"/>
        <v>1.7142857142857142</v>
      </c>
    </row>
    <row r="527" spans="1:15" x14ac:dyDescent="0.2">
      <c r="A527" t="s">
        <v>592</v>
      </c>
      <c r="B527" t="s">
        <v>593</v>
      </c>
      <c r="C527" t="s">
        <v>12</v>
      </c>
      <c r="D527" t="s">
        <v>608</v>
      </c>
      <c r="E527" s="1">
        <v>3000</v>
      </c>
      <c r="F527" s="2">
        <v>5.8</v>
      </c>
      <c r="G527" s="6">
        <v>2.9999999999999997E-4</v>
      </c>
      <c r="H527" s="3">
        <v>0</v>
      </c>
      <c r="I527" s="3">
        <v>0</v>
      </c>
      <c r="J527" s="3">
        <v>9.5000000000000001E-2</v>
      </c>
      <c r="K527" s="3">
        <v>0.11199999999999999</v>
      </c>
      <c r="L527" s="3">
        <v>0.71599999999999997</v>
      </c>
      <c r="M527" s="3">
        <v>0</v>
      </c>
      <c r="N527" s="3">
        <v>0</v>
      </c>
      <c r="O527" s="4">
        <f t="shared" si="8"/>
        <v>1.9333333333333333</v>
      </c>
    </row>
    <row r="528" spans="1:15" x14ac:dyDescent="0.2">
      <c r="A528" t="s">
        <v>592</v>
      </c>
      <c r="B528" t="s">
        <v>593</v>
      </c>
      <c r="C528" t="s">
        <v>12</v>
      </c>
      <c r="D528" t="s">
        <v>609</v>
      </c>
      <c r="E528" s="1">
        <v>3200</v>
      </c>
      <c r="F528" s="2">
        <v>4.3</v>
      </c>
      <c r="G528" s="6">
        <v>6.0000000000000001E-3</v>
      </c>
      <c r="H528" s="3">
        <v>0</v>
      </c>
      <c r="I528" s="3">
        <v>0</v>
      </c>
      <c r="J528" s="3">
        <v>5.9000000000000004E-2</v>
      </c>
      <c r="K528" s="3">
        <v>6.5000000000000002E-2</v>
      </c>
      <c r="L528" s="3">
        <v>0.69</v>
      </c>
      <c r="M528" s="3">
        <v>0</v>
      </c>
      <c r="N528" s="3">
        <v>0</v>
      </c>
      <c r="O528" s="4">
        <f t="shared" si="8"/>
        <v>1.3437499999999998</v>
      </c>
    </row>
    <row r="529" spans="1:15" x14ac:dyDescent="0.2">
      <c r="A529" t="s">
        <v>592</v>
      </c>
      <c r="B529" t="s">
        <v>593</v>
      </c>
      <c r="C529" t="s">
        <v>12</v>
      </c>
      <c r="D529" t="s">
        <v>610</v>
      </c>
      <c r="E529" s="1">
        <v>2500</v>
      </c>
      <c r="F529" s="2">
        <v>0</v>
      </c>
      <c r="G529" s="6">
        <v>1E-4</v>
      </c>
      <c r="H529" s="3">
        <v>0</v>
      </c>
      <c r="I529" s="3">
        <v>0</v>
      </c>
      <c r="J529" s="3">
        <v>0</v>
      </c>
      <c r="K529" s="3">
        <v>0</v>
      </c>
      <c r="L529" s="3">
        <v>0.66700000000000004</v>
      </c>
      <c r="M529" s="3">
        <v>0</v>
      </c>
      <c r="N529" s="3">
        <v>0</v>
      </c>
      <c r="O529" s="4">
        <f t="shared" si="8"/>
        <v>0</v>
      </c>
    </row>
    <row r="530" spans="1:15" x14ac:dyDescent="0.2">
      <c r="A530" t="s">
        <v>592</v>
      </c>
      <c r="B530" t="s">
        <v>593</v>
      </c>
      <c r="C530" t="s">
        <v>12</v>
      </c>
      <c r="D530" t="s">
        <v>611</v>
      </c>
      <c r="E530" s="1">
        <v>2700</v>
      </c>
      <c r="F530" s="2">
        <v>0</v>
      </c>
      <c r="G530" s="6">
        <v>2.9999999999999997E-4</v>
      </c>
      <c r="H530" s="3">
        <v>0</v>
      </c>
      <c r="I530" s="3">
        <v>0</v>
      </c>
      <c r="J530" s="3">
        <v>0</v>
      </c>
      <c r="K530" s="3">
        <v>0</v>
      </c>
      <c r="L530" s="3">
        <v>0.72400000000000009</v>
      </c>
      <c r="M530" s="3">
        <v>0</v>
      </c>
      <c r="N530" s="3">
        <v>0</v>
      </c>
      <c r="O530" s="4">
        <f t="shared" si="8"/>
        <v>0</v>
      </c>
    </row>
    <row r="531" spans="1:15" x14ac:dyDescent="0.2">
      <c r="A531" t="s">
        <v>592</v>
      </c>
      <c r="B531" t="s">
        <v>593</v>
      </c>
      <c r="C531" t="s">
        <v>14</v>
      </c>
      <c r="D531" t="s">
        <v>612</v>
      </c>
      <c r="E531" s="1"/>
      <c r="F531" s="2"/>
      <c r="G531" s="6">
        <v>0</v>
      </c>
      <c r="H531" s="3"/>
      <c r="I531" s="3"/>
      <c r="J531" s="3"/>
      <c r="K531" s="3"/>
      <c r="L531" s="3"/>
      <c r="M531" s="3"/>
      <c r="N531" s="3"/>
      <c r="O531" s="4" t="str">
        <f t="shared" si="8"/>
        <v/>
      </c>
    </row>
    <row r="532" spans="1:15" x14ac:dyDescent="0.2">
      <c r="A532" t="s">
        <v>592</v>
      </c>
      <c r="B532" t="s">
        <v>593</v>
      </c>
      <c r="C532" t="s">
        <v>13</v>
      </c>
      <c r="D532" t="s">
        <v>593</v>
      </c>
      <c r="E532" s="1">
        <v>3000</v>
      </c>
      <c r="F532" s="2">
        <v>7.4</v>
      </c>
      <c r="G532" s="6">
        <v>5.2900000000000003E-2</v>
      </c>
      <c r="H532" s="3"/>
      <c r="I532" s="3"/>
      <c r="J532" s="3"/>
      <c r="K532" s="3"/>
      <c r="L532" s="3"/>
      <c r="M532" s="3"/>
      <c r="N532" s="3"/>
      <c r="O532" s="4">
        <f t="shared" si="8"/>
        <v>2.4666666666666668</v>
      </c>
    </row>
    <row r="533" spans="1:15" x14ac:dyDescent="0.2">
      <c r="A533" t="s">
        <v>613</v>
      </c>
      <c r="B533" t="s">
        <v>614</v>
      </c>
      <c r="C533" t="s">
        <v>9</v>
      </c>
      <c r="D533" t="s">
        <v>615</v>
      </c>
      <c r="E533" s="1">
        <v>6000</v>
      </c>
      <c r="F533" s="2">
        <v>18.600000000000001</v>
      </c>
      <c r="G533" s="6">
        <v>1.9299999999999998E-2</v>
      </c>
      <c r="H533" s="3">
        <v>0.22</v>
      </c>
      <c r="I533" s="3">
        <v>0.23699999999999999</v>
      </c>
      <c r="J533" s="3">
        <v>0</v>
      </c>
      <c r="K533" s="3">
        <v>0</v>
      </c>
      <c r="L533" s="3">
        <v>0</v>
      </c>
      <c r="M533" s="3">
        <v>1</v>
      </c>
      <c r="N533" s="3">
        <v>1.9E-2</v>
      </c>
      <c r="O533" s="4">
        <f t="shared" si="8"/>
        <v>3.1</v>
      </c>
    </row>
    <row r="534" spans="1:15" x14ac:dyDescent="0.2">
      <c r="A534" t="s">
        <v>613</v>
      </c>
      <c r="B534" t="s">
        <v>614</v>
      </c>
      <c r="C534" t="s">
        <v>9</v>
      </c>
      <c r="D534" t="s">
        <v>616</v>
      </c>
      <c r="E534" s="1">
        <v>4000</v>
      </c>
      <c r="F534" s="2">
        <v>0</v>
      </c>
      <c r="G534" s="6">
        <v>0</v>
      </c>
      <c r="H534" s="3">
        <v>0</v>
      </c>
      <c r="I534" s="3">
        <v>0</v>
      </c>
      <c r="J534" s="3">
        <v>0</v>
      </c>
      <c r="K534" s="3">
        <v>0</v>
      </c>
      <c r="L534" s="3">
        <v>0</v>
      </c>
      <c r="M534" s="3">
        <v>0</v>
      </c>
      <c r="N534" s="3">
        <v>0</v>
      </c>
      <c r="O534" s="4">
        <f t="shared" si="8"/>
        <v>0</v>
      </c>
    </row>
    <row r="535" spans="1:15" x14ac:dyDescent="0.2">
      <c r="A535" t="s">
        <v>613</v>
      </c>
      <c r="B535" t="s">
        <v>614</v>
      </c>
      <c r="C535" t="s">
        <v>9</v>
      </c>
      <c r="D535" t="s">
        <v>617</v>
      </c>
      <c r="E535" s="1">
        <v>4000</v>
      </c>
      <c r="F535" s="2">
        <v>0</v>
      </c>
      <c r="G535" s="6">
        <v>0</v>
      </c>
      <c r="H535" s="3">
        <v>0</v>
      </c>
      <c r="I535" s="3">
        <v>0</v>
      </c>
      <c r="J535" s="3">
        <v>0</v>
      </c>
      <c r="K535" s="3">
        <v>0</v>
      </c>
      <c r="L535" s="3">
        <v>0</v>
      </c>
      <c r="M535" s="3">
        <v>0</v>
      </c>
      <c r="N535" s="3">
        <v>0</v>
      </c>
      <c r="O535" s="4">
        <f t="shared" si="8"/>
        <v>0</v>
      </c>
    </row>
    <row r="536" spans="1:15" x14ac:dyDescent="0.2">
      <c r="A536" t="s">
        <v>613</v>
      </c>
      <c r="B536" t="s">
        <v>614</v>
      </c>
      <c r="C536" t="s">
        <v>10</v>
      </c>
      <c r="D536" t="s">
        <v>618</v>
      </c>
      <c r="E536" s="1">
        <v>5700</v>
      </c>
      <c r="F536" s="2">
        <v>16.5</v>
      </c>
      <c r="G536" s="6">
        <v>2.7999999999999997E-2</v>
      </c>
      <c r="H536" s="3">
        <v>0.64200000000000002</v>
      </c>
      <c r="I536" s="3">
        <v>0.71099999999999997</v>
      </c>
      <c r="J536" s="3">
        <v>0.121</v>
      </c>
      <c r="K536" s="3">
        <v>0.129</v>
      </c>
      <c r="L536" s="3">
        <v>0.82700000000000007</v>
      </c>
      <c r="M536" s="3">
        <v>0</v>
      </c>
      <c r="N536" s="3">
        <v>0</v>
      </c>
      <c r="O536" s="4">
        <f t="shared" si="8"/>
        <v>2.8947368421052633</v>
      </c>
    </row>
    <row r="537" spans="1:15" x14ac:dyDescent="0.2">
      <c r="A537" t="s">
        <v>613</v>
      </c>
      <c r="B537" t="s">
        <v>614</v>
      </c>
      <c r="C537" t="s">
        <v>10</v>
      </c>
      <c r="D537" t="s">
        <v>619</v>
      </c>
      <c r="E537" s="1">
        <v>4000</v>
      </c>
      <c r="F537" s="2">
        <v>1.4</v>
      </c>
      <c r="G537" s="6">
        <v>1E-4</v>
      </c>
      <c r="H537" s="3">
        <v>0.10800000000000001</v>
      </c>
      <c r="I537" s="3">
        <v>2.7999999999999997E-2</v>
      </c>
      <c r="J537" s="3">
        <v>1.4999999999999999E-2</v>
      </c>
      <c r="K537" s="3">
        <v>5.0000000000000001E-3</v>
      </c>
      <c r="L537" s="3">
        <v>0.76300000000000001</v>
      </c>
      <c r="M537" s="3">
        <v>0</v>
      </c>
      <c r="N537" s="3">
        <v>0</v>
      </c>
      <c r="O537" s="4">
        <f t="shared" si="8"/>
        <v>0.35</v>
      </c>
    </row>
    <row r="538" spans="1:15" x14ac:dyDescent="0.2">
      <c r="A538" t="s">
        <v>613</v>
      </c>
      <c r="B538" t="s">
        <v>614</v>
      </c>
      <c r="C538" t="s">
        <v>10</v>
      </c>
      <c r="D538" t="s">
        <v>620</v>
      </c>
      <c r="E538" s="1">
        <v>4000</v>
      </c>
      <c r="F538" s="2">
        <v>0</v>
      </c>
      <c r="G538" s="6">
        <v>0</v>
      </c>
      <c r="H538" s="3">
        <v>0.01</v>
      </c>
      <c r="I538" s="3">
        <v>0.01</v>
      </c>
      <c r="J538" s="3">
        <v>0</v>
      </c>
      <c r="K538" s="3">
        <v>0</v>
      </c>
      <c r="L538" s="3">
        <v>0.81799999999999995</v>
      </c>
      <c r="M538" s="3">
        <v>0</v>
      </c>
      <c r="N538" s="3">
        <v>0</v>
      </c>
      <c r="O538" s="4">
        <f t="shared" si="8"/>
        <v>0</v>
      </c>
    </row>
    <row r="539" spans="1:15" x14ac:dyDescent="0.2">
      <c r="A539" t="s">
        <v>613</v>
      </c>
      <c r="B539" t="s">
        <v>614</v>
      </c>
      <c r="C539" t="s">
        <v>10</v>
      </c>
      <c r="D539" t="s">
        <v>621</v>
      </c>
      <c r="E539" s="1">
        <v>5200</v>
      </c>
      <c r="F539" s="2">
        <v>0</v>
      </c>
      <c r="G539" s="6">
        <v>1.3100000000000001E-2</v>
      </c>
      <c r="H539" s="3">
        <v>0</v>
      </c>
      <c r="I539" s="3">
        <v>0</v>
      </c>
      <c r="J539" s="3">
        <v>0</v>
      </c>
      <c r="K539" s="3">
        <v>0</v>
      </c>
      <c r="L539" s="3">
        <v>0.82299999999999995</v>
      </c>
      <c r="M539" s="3">
        <v>0</v>
      </c>
      <c r="N539" s="3">
        <v>0</v>
      </c>
      <c r="O539" s="4">
        <f t="shared" si="8"/>
        <v>0</v>
      </c>
    </row>
    <row r="540" spans="1:15" x14ac:dyDescent="0.2">
      <c r="A540" t="s">
        <v>613</v>
      </c>
      <c r="B540" t="s">
        <v>614</v>
      </c>
      <c r="C540" t="s">
        <v>11</v>
      </c>
      <c r="D540" t="s">
        <v>622</v>
      </c>
      <c r="E540" s="1">
        <v>7100</v>
      </c>
      <c r="F540" s="2">
        <v>12.1</v>
      </c>
      <c r="G540" s="6">
        <v>3.4500000000000003E-2</v>
      </c>
      <c r="H540" s="3">
        <v>0</v>
      </c>
      <c r="I540" s="3">
        <v>0</v>
      </c>
      <c r="J540" s="3">
        <v>0.248</v>
      </c>
      <c r="K540" s="3">
        <v>0.25600000000000001</v>
      </c>
      <c r="L540" s="3">
        <v>0.66299999999999992</v>
      </c>
      <c r="M540" s="3">
        <v>0</v>
      </c>
      <c r="N540" s="3">
        <v>0</v>
      </c>
      <c r="O540" s="4">
        <f t="shared" si="8"/>
        <v>1.704225352112676</v>
      </c>
    </row>
    <row r="541" spans="1:15" x14ac:dyDescent="0.2">
      <c r="A541" t="s">
        <v>613</v>
      </c>
      <c r="B541" t="s">
        <v>614</v>
      </c>
      <c r="C541" t="s">
        <v>11</v>
      </c>
      <c r="D541" t="s">
        <v>623</v>
      </c>
      <c r="E541" s="1">
        <v>4600</v>
      </c>
      <c r="F541" s="2">
        <v>8.9</v>
      </c>
      <c r="G541" s="6">
        <v>6.8999999999999999E-3</v>
      </c>
      <c r="H541" s="3">
        <v>0</v>
      </c>
      <c r="I541" s="3">
        <v>0</v>
      </c>
      <c r="J541" s="3">
        <v>0.18</v>
      </c>
      <c r="K541" s="3">
        <v>0.183</v>
      </c>
      <c r="L541" s="3">
        <v>0.64200000000000002</v>
      </c>
      <c r="M541" s="3">
        <v>0</v>
      </c>
      <c r="N541" s="3">
        <v>0</v>
      </c>
      <c r="O541" s="4">
        <f t="shared" si="8"/>
        <v>1.9347826086956523</v>
      </c>
    </row>
    <row r="542" spans="1:15" x14ac:dyDescent="0.2">
      <c r="A542" t="s">
        <v>613</v>
      </c>
      <c r="B542" t="s">
        <v>614</v>
      </c>
      <c r="C542" t="s">
        <v>11</v>
      </c>
      <c r="D542" t="s">
        <v>624</v>
      </c>
      <c r="E542" s="1">
        <v>3300</v>
      </c>
      <c r="F542" s="2">
        <v>5.7</v>
      </c>
      <c r="G542" s="6">
        <v>5.7999999999999996E-3</v>
      </c>
      <c r="H542" s="3">
        <v>1.3000000000000001E-2</v>
      </c>
      <c r="I542" s="3">
        <v>6.9999999999999993E-3</v>
      </c>
      <c r="J542" s="3">
        <v>0.09</v>
      </c>
      <c r="K542" s="3">
        <v>8.900000000000001E-2</v>
      </c>
      <c r="L542" s="3">
        <v>0.72099999999999997</v>
      </c>
      <c r="M542" s="3">
        <v>0</v>
      </c>
      <c r="N542" s="3">
        <v>0</v>
      </c>
      <c r="O542" s="4">
        <f t="shared" si="8"/>
        <v>1.7272727272727275</v>
      </c>
    </row>
    <row r="543" spans="1:15" x14ac:dyDescent="0.2">
      <c r="A543" t="s">
        <v>613</v>
      </c>
      <c r="B543" t="s">
        <v>614</v>
      </c>
      <c r="C543" t="s">
        <v>11</v>
      </c>
      <c r="D543" t="s">
        <v>625</v>
      </c>
      <c r="E543" s="1">
        <v>3100</v>
      </c>
      <c r="F543" s="2">
        <v>3</v>
      </c>
      <c r="G543" s="6">
        <v>5.9999999999999995E-4</v>
      </c>
      <c r="H543" s="3">
        <v>6.9999999999999993E-3</v>
      </c>
      <c r="I543" s="3">
        <v>6.9999999999999993E-3</v>
      </c>
      <c r="J543" s="3">
        <v>5.9000000000000004E-2</v>
      </c>
      <c r="K543" s="3">
        <v>6.6000000000000003E-2</v>
      </c>
      <c r="L543" s="3">
        <v>0.53200000000000003</v>
      </c>
      <c r="M543" s="3">
        <v>0</v>
      </c>
      <c r="N543" s="3">
        <v>0</v>
      </c>
      <c r="O543" s="4">
        <f t="shared" si="8"/>
        <v>0.96774193548387089</v>
      </c>
    </row>
    <row r="544" spans="1:15" x14ac:dyDescent="0.2">
      <c r="A544" t="s">
        <v>613</v>
      </c>
      <c r="B544" t="s">
        <v>614</v>
      </c>
      <c r="C544" t="s">
        <v>11</v>
      </c>
      <c r="D544" t="s">
        <v>626</v>
      </c>
      <c r="E544" s="1">
        <v>3600</v>
      </c>
      <c r="F544" s="2">
        <v>2.4</v>
      </c>
      <c r="G544" s="6">
        <v>4.6999999999999993E-3</v>
      </c>
      <c r="H544" s="3">
        <v>0</v>
      </c>
      <c r="I544" s="3">
        <v>0</v>
      </c>
      <c r="J544" s="3">
        <v>5.0999999999999997E-2</v>
      </c>
      <c r="K544" s="3">
        <v>5.5E-2</v>
      </c>
      <c r="L544" s="3">
        <v>0.66599999999999993</v>
      </c>
      <c r="M544" s="3">
        <v>0</v>
      </c>
      <c r="N544" s="3">
        <v>0</v>
      </c>
      <c r="O544" s="4">
        <f t="shared" si="8"/>
        <v>0.66666666666666663</v>
      </c>
    </row>
    <row r="545" spans="1:15" x14ac:dyDescent="0.2">
      <c r="A545" t="s">
        <v>613</v>
      </c>
      <c r="B545" t="s">
        <v>614</v>
      </c>
      <c r="C545" t="s">
        <v>11</v>
      </c>
      <c r="D545" t="s">
        <v>627</v>
      </c>
      <c r="E545" s="1">
        <v>3000</v>
      </c>
      <c r="F545" s="2">
        <v>0.2</v>
      </c>
      <c r="G545" s="6">
        <v>0</v>
      </c>
      <c r="H545" s="3">
        <v>0</v>
      </c>
      <c r="I545" s="3">
        <v>0</v>
      </c>
      <c r="J545" s="3">
        <v>0</v>
      </c>
      <c r="K545" s="3">
        <v>0</v>
      </c>
      <c r="L545" s="3">
        <v>0.70400000000000007</v>
      </c>
      <c r="M545" s="3">
        <v>0</v>
      </c>
      <c r="N545" s="3">
        <v>0</v>
      </c>
      <c r="O545" s="4">
        <f t="shared" si="8"/>
        <v>6.6666666666666666E-2</v>
      </c>
    </row>
    <row r="546" spans="1:15" x14ac:dyDescent="0.2">
      <c r="A546" t="s">
        <v>613</v>
      </c>
      <c r="B546" t="s">
        <v>614</v>
      </c>
      <c r="C546" t="s">
        <v>12</v>
      </c>
      <c r="D546" t="s">
        <v>628</v>
      </c>
      <c r="E546" s="1">
        <v>3800</v>
      </c>
      <c r="F546" s="2">
        <v>8</v>
      </c>
      <c r="G546" s="6">
        <v>0.05</v>
      </c>
      <c r="H546" s="3">
        <v>0</v>
      </c>
      <c r="I546" s="3">
        <v>0</v>
      </c>
      <c r="J546" s="3">
        <v>0.16699999999999998</v>
      </c>
      <c r="K546" s="3">
        <v>0.16500000000000001</v>
      </c>
      <c r="L546" s="3">
        <v>0.68700000000000006</v>
      </c>
      <c r="M546" s="3">
        <v>0</v>
      </c>
      <c r="N546" s="3">
        <v>0</v>
      </c>
      <c r="O546" s="4">
        <f t="shared" si="8"/>
        <v>2.1052631578947367</v>
      </c>
    </row>
    <row r="547" spans="1:15" x14ac:dyDescent="0.2">
      <c r="A547" t="s">
        <v>613</v>
      </c>
      <c r="B547" t="s">
        <v>614</v>
      </c>
      <c r="C547" t="s">
        <v>12</v>
      </c>
      <c r="D547" t="s">
        <v>629</v>
      </c>
      <c r="E547" s="1">
        <v>2800</v>
      </c>
      <c r="F547" s="2">
        <v>2.9</v>
      </c>
      <c r="G547" s="6">
        <v>0</v>
      </c>
      <c r="H547" s="3">
        <v>0</v>
      </c>
      <c r="I547" s="3">
        <v>0</v>
      </c>
      <c r="J547" s="3">
        <v>0.06</v>
      </c>
      <c r="K547" s="3">
        <v>5.2000000000000005E-2</v>
      </c>
      <c r="L547" s="3">
        <v>0.72400000000000009</v>
      </c>
      <c r="M547" s="3">
        <v>0</v>
      </c>
      <c r="N547" s="3">
        <v>0</v>
      </c>
      <c r="O547" s="4">
        <f t="shared" si="8"/>
        <v>1.0357142857142858</v>
      </c>
    </row>
    <row r="548" spans="1:15" x14ac:dyDescent="0.2">
      <c r="A548" t="s">
        <v>613</v>
      </c>
      <c r="B548" t="s">
        <v>614</v>
      </c>
      <c r="C548" t="s">
        <v>12</v>
      </c>
      <c r="D548" t="s">
        <v>630</v>
      </c>
      <c r="E548" s="1">
        <v>2500</v>
      </c>
      <c r="F548" s="2">
        <v>0.2</v>
      </c>
      <c r="G548" s="6">
        <v>0</v>
      </c>
      <c r="H548" s="3">
        <v>0</v>
      </c>
      <c r="I548" s="3">
        <v>0</v>
      </c>
      <c r="J548" s="3">
        <v>5.0000000000000001E-3</v>
      </c>
      <c r="K548" s="3">
        <v>0</v>
      </c>
      <c r="L548" s="3">
        <v>0.72400000000000009</v>
      </c>
      <c r="M548" s="3">
        <v>0</v>
      </c>
      <c r="N548" s="3">
        <v>0</v>
      </c>
      <c r="O548" s="4">
        <f t="shared" si="8"/>
        <v>0.08</v>
      </c>
    </row>
    <row r="549" spans="1:15" x14ac:dyDescent="0.2">
      <c r="A549" t="s">
        <v>613</v>
      </c>
      <c r="B549" t="s">
        <v>614</v>
      </c>
      <c r="C549" t="s">
        <v>12</v>
      </c>
      <c r="D549" t="s">
        <v>631</v>
      </c>
      <c r="E549" s="1">
        <v>2500</v>
      </c>
      <c r="F549" s="2">
        <v>0.2</v>
      </c>
      <c r="G549" s="6">
        <v>0</v>
      </c>
      <c r="H549" s="3">
        <v>0</v>
      </c>
      <c r="I549" s="3">
        <v>0</v>
      </c>
      <c r="J549" s="3">
        <v>0</v>
      </c>
      <c r="K549" s="3">
        <v>0</v>
      </c>
      <c r="L549" s="3">
        <v>0</v>
      </c>
      <c r="M549" s="3">
        <v>0</v>
      </c>
      <c r="N549" s="3">
        <v>0</v>
      </c>
      <c r="O549" s="4">
        <f t="shared" si="8"/>
        <v>0.08</v>
      </c>
    </row>
    <row r="550" spans="1:15" x14ac:dyDescent="0.2">
      <c r="A550" t="s">
        <v>613</v>
      </c>
      <c r="B550" t="s">
        <v>614</v>
      </c>
      <c r="C550" t="s">
        <v>14</v>
      </c>
      <c r="D550" t="s">
        <v>632</v>
      </c>
      <c r="E550" s="1"/>
      <c r="F550" s="2"/>
      <c r="G550" s="6">
        <v>0</v>
      </c>
      <c r="H550" s="3"/>
      <c r="I550" s="3"/>
      <c r="J550" s="3"/>
      <c r="K550" s="3"/>
      <c r="L550" s="3"/>
      <c r="M550" s="3"/>
      <c r="N550" s="3"/>
      <c r="O550" s="4" t="str">
        <f t="shared" si="8"/>
        <v/>
      </c>
    </row>
    <row r="551" spans="1:15" x14ac:dyDescent="0.2">
      <c r="A551" t="s">
        <v>613</v>
      </c>
      <c r="B551" t="s">
        <v>614</v>
      </c>
      <c r="C551" t="s">
        <v>13</v>
      </c>
      <c r="D551" t="s">
        <v>614</v>
      </c>
      <c r="E551" s="1">
        <v>2600</v>
      </c>
      <c r="F551" s="2">
        <v>6.7</v>
      </c>
      <c r="G551" s="6">
        <v>2.6699999999999998E-2</v>
      </c>
      <c r="H551" s="3"/>
      <c r="I551" s="3"/>
      <c r="J551" s="3"/>
      <c r="K551" s="3"/>
      <c r="L551" s="3"/>
      <c r="M551" s="3"/>
      <c r="N551" s="3"/>
      <c r="O551" s="4">
        <f t="shared" si="8"/>
        <v>2.5769230769230771</v>
      </c>
    </row>
    <row r="552" spans="1:15" x14ac:dyDescent="0.2">
      <c r="A552" t="s">
        <v>633</v>
      </c>
      <c r="B552" t="s">
        <v>634</v>
      </c>
      <c r="C552" t="s">
        <v>9</v>
      </c>
      <c r="D552" t="s">
        <v>635</v>
      </c>
      <c r="E552" s="1">
        <v>5400</v>
      </c>
      <c r="F552" s="2">
        <v>14.9</v>
      </c>
      <c r="G552" s="6">
        <v>2.98E-2</v>
      </c>
      <c r="H552" s="3">
        <v>8.199999999999999E-2</v>
      </c>
      <c r="I552" s="3">
        <v>1.8000000000000002E-2</v>
      </c>
      <c r="J552" s="3">
        <v>0</v>
      </c>
      <c r="K552" s="3">
        <v>0</v>
      </c>
      <c r="L552" s="3">
        <v>0</v>
      </c>
      <c r="M552" s="3">
        <v>1</v>
      </c>
      <c r="N552" s="3">
        <v>2.3E-2</v>
      </c>
      <c r="O552" s="4">
        <f t="shared" ref="O552:O569" si="9">IFERROR(F552/(E552/1000),"")</f>
        <v>2.7592592592592591</v>
      </c>
    </row>
    <row r="553" spans="1:15" x14ac:dyDescent="0.2">
      <c r="A553" t="s">
        <v>633</v>
      </c>
      <c r="B553" t="s">
        <v>634</v>
      </c>
      <c r="C553" t="s">
        <v>9</v>
      </c>
      <c r="D553" t="s">
        <v>636</v>
      </c>
      <c r="E553" s="1">
        <v>4000</v>
      </c>
      <c r="F553" s="2">
        <v>0</v>
      </c>
      <c r="G553" s="6">
        <v>0</v>
      </c>
      <c r="H553" s="3">
        <v>0</v>
      </c>
      <c r="I553" s="3">
        <v>0</v>
      </c>
      <c r="J553" s="3">
        <v>0</v>
      </c>
      <c r="K553" s="3">
        <v>0</v>
      </c>
      <c r="L553" s="3">
        <v>0</v>
      </c>
      <c r="M553" s="3">
        <v>0</v>
      </c>
      <c r="N553" s="3">
        <v>0</v>
      </c>
      <c r="O553" s="4">
        <f t="shared" si="9"/>
        <v>0</v>
      </c>
    </row>
    <row r="554" spans="1:15" x14ac:dyDescent="0.2">
      <c r="A554" t="s">
        <v>633</v>
      </c>
      <c r="B554" t="s">
        <v>634</v>
      </c>
      <c r="C554" t="s">
        <v>9</v>
      </c>
      <c r="D554" t="s">
        <v>637</v>
      </c>
      <c r="E554" s="1">
        <v>4000</v>
      </c>
      <c r="F554" s="2">
        <v>0</v>
      </c>
      <c r="G554" s="6">
        <v>0</v>
      </c>
      <c r="H554" s="3">
        <v>0</v>
      </c>
      <c r="I554" s="3">
        <v>0</v>
      </c>
      <c r="J554" s="3">
        <v>0</v>
      </c>
      <c r="K554" s="3">
        <v>0</v>
      </c>
      <c r="L554" s="3">
        <v>0</v>
      </c>
      <c r="M554" s="3">
        <v>0</v>
      </c>
      <c r="N554" s="3">
        <v>0</v>
      </c>
      <c r="O554" s="4">
        <f t="shared" si="9"/>
        <v>0</v>
      </c>
    </row>
    <row r="555" spans="1:15" x14ac:dyDescent="0.2">
      <c r="A555" t="s">
        <v>633</v>
      </c>
      <c r="B555" t="s">
        <v>634</v>
      </c>
      <c r="C555" t="s">
        <v>10</v>
      </c>
      <c r="D555" t="s">
        <v>638</v>
      </c>
      <c r="E555" s="1">
        <v>5600</v>
      </c>
      <c r="F555" s="2">
        <v>14.4</v>
      </c>
      <c r="G555" s="6">
        <v>2.0299999999999999E-2</v>
      </c>
      <c r="H555" s="3">
        <v>0.61299999999999999</v>
      </c>
      <c r="I555" s="3">
        <v>0.66099999999999992</v>
      </c>
      <c r="J555" s="3">
        <v>8.3000000000000004E-2</v>
      </c>
      <c r="K555" s="3">
        <v>3.5000000000000003E-2</v>
      </c>
      <c r="L555" s="3">
        <v>0.78700000000000003</v>
      </c>
      <c r="M555" s="3">
        <v>0</v>
      </c>
      <c r="N555" s="3">
        <v>0</v>
      </c>
      <c r="O555" s="4">
        <f t="shared" si="9"/>
        <v>2.5714285714285716</v>
      </c>
    </row>
    <row r="556" spans="1:15" x14ac:dyDescent="0.2">
      <c r="A556" t="s">
        <v>633</v>
      </c>
      <c r="B556" t="s">
        <v>634</v>
      </c>
      <c r="C556" t="s">
        <v>10</v>
      </c>
      <c r="D556" t="s">
        <v>639</v>
      </c>
      <c r="E556" s="1">
        <v>4600</v>
      </c>
      <c r="F556" s="2">
        <v>6.1</v>
      </c>
      <c r="G556" s="6">
        <v>2.2000000000000001E-3</v>
      </c>
      <c r="H556" s="3">
        <v>0.19899999999999998</v>
      </c>
      <c r="I556" s="3">
        <v>0.22</v>
      </c>
      <c r="J556" s="3">
        <v>4.2000000000000003E-2</v>
      </c>
      <c r="K556" s="3">
        <v>5.4000000000000006E-2</v>
      </c>
      <c r="L556" s="3">
        <v>0.83</v>
      </c>
      <c r="M556" s="3">
        <v>0</v>
      </c>
      <c r="N556" s="3">
        <v>0</v>
      </c>
      <c r="O556" s="4">
        <f t="shared" si="9"/>
        <v>1.3260869565217392</v>
      </c>
    </row>
    <row r="557" spans="1:15" x14ac:dyDescent="0.2">
      <c r="A557" t="s">
        <v>633</v>
      </c>
      <c r="B557" t="s">
        <v>634</v>
      </c>
      <c r="C557" t="s">
        <v>10</v>
      </c>
      <c r="D557" t="s">
        <v>640</v>
      </c>
      <c r="E557" s="1">
        <v>4100</v>
      </c>
      <c r="F557" s="2">
        <v>2.8</v>
      </c>
      <c r="G557" s="6">
        <v>2.63E-2</v>
      </c>
      <c r="H557" s="3">
        <v>5.0999999999999997E-2</v>
      </c>
      <c r="I557" s="3">
        <v>0.04</v>
      </c>
      <c r="J557" s="3">
        <v>2.1000000000000001E-2</v>
      </c>
      <c r="K557" s="3">
        <v>9.0000000000000011E-3</v>
      </c>
      <c r="L557" s="3">
        <v>0.82400000000000007</v>
      </c>
      <c r="M557" s="3">
        <v>0</v>
      </c>
      <c r="N557" s="3">
        <v>0</v>
      </c>
      <c r="O557" s="4">
        <f t="shared" si="9"/>
        <v>0.68292682926829273</v>
      </c>
    </row>
    <row r="558" spans="1:15" x14ac:dyDescent="0.2">
      <c r="A558" t="s">
        <v>633</v>
      </c>
      <c r="B558" t="s">
        <v>634</v>
      </c>
      <c r="C558" t="s">
        <v>10</v>
      </c>
      <c r="D558" t="s">
        <v>641</v>
      </c>
      <c r="E558" s="1">
        <v>4000</v>
      </c>
      <c r="F558" s="2">
        <v>0</v>
      </c>
      <c r="G558" s="6">
        <v>0</v>
      </c>
      <c r="H558" s="3">
        <v>0</v>
      </c>
      <c r="I558" s="3">
        <v>0</v>
      </c>
      <c r="J558" s="3">
        <v>0</v>
      </c>
      <c r="K558" s="3">
        <v>0</v>
      </c>
      <c r="L558" s="3">
        <v>0.72699999999999998</v>
      </c>
      <c r="M558" s="3">
        <v>0</v>
      </c>
      <c r="N558" s="3">
        <v>0</v>
      </c>
      <c r="O558" s="4">
        <f t="shared" si="9"/>
        <v>0</v>
      </c>
    </row>
    <row r="559" spans="1:15" x14ac:dyDescent="0.2">
      <c r="A559" t="s">
        <v>633</v>
      </c>
      <c r="B559" t="s">
        <v>634</v>
      </c>
      <c r="C559" t="s">
        <v>11</v>
      </c>
      <c r="D559" t="s">
        <v>642</v>
      </c>
      <c r="E559" s="1">
        <v>7600</v>
      </c>
      <c r="F559" s="2">
        <v>17.100000000000001</v>
      </c>
      <c r="G559" s="6">
        <v>5.7200000000000001E-2</v>
      </c>
      <c r="H559" s="3">
        <v>1.3000000000000001E-2</v>
      </c>
      <c r="I559" s="3">
        <v>1.6E-2</v>
      </c>
      <c r="J559" s="3">
        <v>0.32899999999999996</v>
      </c>
      <c r="K559" s="3">
        <v>0.40100000000000002</v>
      </c>
      <c r="L559" s="3">
        <v>0.72599999999999998</v>
      </c>
      <c r="M559" s="3">
        <v>0</v>
      </c>
      <c r="N559" s="3">
        <v>0</v>
      </c>
      <c r="O559" s="4">
        <f t="shared" si="9"/>
        <v>2.2500000000000004</v>
      </c>
    </row>
    <row r="560" spans="1:15" x14ac:dyDescent="0.2">
      <c r="A560" t="s">
        <v>633</v>
      </c>
      <c r="B560" t="s">
        <v>634</v>
      </c>
      <c r="C560" t="s">
        <v>11</v>
      </c>
      <c r="D560" t="s">
        <v>643</v>
      </c>
      <c r="E560" s="1">
        <v>4100</v>
      </c>
      <c r="F560" s="2">
        <v>4.7</v>
      </c>
      <c r="G560" s="6">
        <v>3.5499999999999997E-2</v>
      </c>
      <c r="H560" s="3">
        <v>0</v>
      </c>
      <c r="I560" s="3">
        <v>0</v>
      </c>
      <c r="J560" s="3">
        <v>0.154</v>
      </c>
      <c r="K560" s="3">
        <v>0.17199999999999999</v>
      </c>
      <c r="L560" s="3">
        <v>0.66799999999999993</v>
      </c>
      <c r="M560" s="3">
        <v>0</v>
      </c>
      <c r="N560" s="3">
        <v>0</v>
      </c>
      <c r="O560" s="4">
        <f t="shared" si="9"/>
        <v>1.1463414634146343</v>
      </c>
    </row>
    <row r="561" spans="1:15" x14ac:dyDescent="0.2">
      <c r="A561" t="s">
        <v>633</v>
      </c>
      <c r="B561" t="s">
        <v>634</v>
      </c>
      <c r="C561" t="s">
        <v>11</v>
      </c>
      <c r="D561" t="s">
        <v>644</v>
      </c>
      <c r="E561" s="1">
        <v>4400</v>
      </c>
      <c r="F561" s="2">
        <v>7.4</v>
      </c>
      <c r="G561" s="6">
        <v>1.6399999999999998E-2</v>
      </c>
      <c r="H561" s="3">
        <v>2.2000000000000002E-2</v>
      </c>
      <c r="I561" s="3">
        <v>0.02</v>
      </c>
      <c r="J561" s="3">
        <v>0.13100000000000001</v>
      </c>
      <c r="K561" s="3">
        <v>0.13800000000000001</v>
      </c>
      <c r="L561" s="3">
        <v>0.59699999999999998</v>
      </c>
      <c r="M561" s="3">
        <v>0</v>
      </c>
      <c r="N561" s="3">
        <v>0</v>
      </c>
      <c r="O561" s="4">
        <f t="shared" si="9"/>
        <v>1.6818181818181817</v>
      </c>
    </row>
    <row r="562" spans="1:15" x14ac:dyDescent="0.2">
      <c r="A562" t="s">
        <v>633</v>
      </c>
      <c r="B562" t="s">
        <v>634</v>
      </c>
      <c r="C562" t="s">
        <v>11</v>
      </c>
      <c r="D562" t="s">
        <v>645</v>
      </c>
      <c r="E562" s="1">
        <v>3000</v>
      </c>
      <c r="F562" s="2">
        <v>0.2</v>
      </c>
      <c r="G562" s="6">
        <v>2.3999999999999998E-3</v>
      </c>
      <c r="H562" s="3">
        <v>0</v>
      </c>
      <c r="I562" s="3">
        <v>0</v>
      </c>
      <c r="J562" s="3">
        <v>0.02</v>
      </c>
      <c r="K562" s="3">
        <v>1.8000000000000002E-2</v>
      </c>
      <c r="L562" s="3">
        <v>0.63</v>
      </c>
      <c r="M562" s="3">
        <v>0</v>
      </c>
      <c r="N562" s="3">
        <v>0</v>
      </c>
      <c r="O562" s="4">
        <f t="shared" si="9"/>
        <v>6.6666666666666666E-2</v>
      </c>
    </row>
    <row r="563" spans="1:15" x14ac:dyDescent="0.2">
      <c r="A563" t="s">
        <v>633</v>
      </c>
      <c r="B563" t="s">
        <v>634</v>
      </c>
      <c r="C563" t="s">
        <v>11</v>
      </c>
      <c r="D563" t="s">
        <v>646</v>
      </c>
      <c r="E563" s="1">
        <v>3400</v>
      </c>
      <c r="F563" s="2">
        <v>4.8</v>
      </c>
      <c r="G563" s="6">
        <v>9.1000000000000004E-3</v>
      </c>
      <c r="H563" s="3">
        <v>0</v>
      </c>
      <c r="I563" s="3">
        <v>0</v>
      </c>
      <c r="J563" s="3">
        <v>0</v>
      </c>
      <c r="K563" s="3">
        <v>0</v>
      </c>
      <c r="L563" s="3">
        <v>0.60499999999999998</v>
      </c>
      <c r="M563" s="3">
        <v>0</v>
      </c>
      <c r="N563" s="3">
        <v>0</v>
      </c>
      <c r="O563" s="4">
        <f t="shared" si="9"/>
        <v>1.411764705882353</v>
      </c>
    </row>
    <row r="564" spans="1:15" x14ac:dyDescent="0.2">
      <c r="A564" t="s">
        <v>633</v>
      </c>
      <c r="B564" t="s">
        <v>634</v>
      </c>
      <c r="C564" t="s">
        <v>12</v>
      </c>
      <c r="D564" t="s">
        <v>647</v>
      </c>
      <c r="E564" s="1">
        <v>3600</v>
      </c>
      <c r="F564" s="2">
        <v>8.3000000000000007</v>
      </c>
      <c r="G564" s="6">
        <v>4.8399999999999999E-2</v>
      </c>
      <c r="H564" s="3">
        <v>2.2000000000000002E-2</v>
      </c>
      <c r="I564" s="3">
        <v>2.5000000000000001E-2</v>
      </c>
      <c r="J564" s="3">
        <v>0.14599999999999999</v>
      </c>
      <c r="K564" s="3">
        <v>0.17199999999999999</v>
      </c>
      <c r="L564" s="3">
        <v>0.76800000000000002</v>
      </c>
      <c r="M564" s="3">
        <v>0</v>
      </c>
      <c r="N564" s="3">
        <v>0</v>
      </c>
      <c r="O564" s="4">
        <f t="shared" si="9"/>
        <v>2.3055555555555558</v>
      </c>
    </row>
    <row r="565" spans="1:15" x14ac:dyDescent="0.2">
      <c r="A565" t="s">
        <v>633</v>
      </c>
      <c r="B565" t="s">
        <v>634</v>
      </c>
      <c r="C565" t="s">
        <v>12</v>
      </c>
      <c r="D565" t="s">
        <v>648</v>
      </c>
      <c r="E565" s="1">
        <v>2600</v>
      </c>
      <c r="F565" s="2">
        <v>2.6</v>
      </c>
      <c r="G565" s="6">
        <v>8.0000000000000004E-4</v>
      </c>
      <c r="H565" s="3">
        <v>0</v>
      </c>
      <c r="I565" s="3">
        <v>0</v>
      </c>
      <c r="J565" s="3">
        <v>6.0999999999999999E-2</v>
      </c>
      <c r="K565" s="3">
        <v>0</v>
      </c>
      <c r="L565" s="3">
        <v>0.623</v>
      </c>
      <c r="M565" s="3">
        <v>0</v>
      </c>
      <c r="N565" s="3">
        <v>0</v>
      </c>
      <c r="O565" s="4">
        <f t="shared" si="9"/>
        <v>1</v>
      </c>
    </row>
    <row r="566" spans="1:15" x14ac:dyDescent="0.2">
      <c r="A566" t="s">
        <v>633</v>
      </c>
      <c r="B566" t="s">
        <v>634</v>
      </c>
      <c r="C566" t="s">
        <v>12</v>
      </c>
      <c r="D566" t="s">
        <v>649</v>
      </c>
      <c r="E566" s="1">
        <v>2500</v>
      </c>
      <c r="F566" s="2">
        <v>0.6</v>
      </c>
      <c r="G566" s="6">
        <v>1E-4</v>
      </c>
      <c r="H566" s="3">
        <v>0</v>
      </c>
      <c r="I566" s="3">
        <v>0</v>
      </c>
      <c r="J566" s="3">
        <v>1.3999999999999999E-2</v>
      </c>
      <c r="K566" s="3">
        <v>0</v>
      </c>
      <c r="L566" s="3">
        <v>0.71799999999999997</v>
      </c>
      <c r="M566" s="3">
        <v>0</v>
      </c>
      <c r="N566" s="3">
        <v>0</v>
      </c>
      <c r="O566" s="4">
        <f t="shared" si="9"/>
        <v>0.24</v>
      </c>
    </row>
    <row r="567" spans="1:15" x14ac:dyDescent="0.2">
      <c r="A567" t="s">
        <v>633</v>
      </c>
      <c r="B567" t="s">
        <v>634</v>
      </c>
      <c r="C567" t="s">
        <v>12</v>
      </c>
      <c r="D567" t="s">
        <v>650</v>
      </c>
      <c r="E567" s="1">
        <v>2500</v>
      </c>
      <c r="F567" s="2">
        <v>0</v>
      </c>
      <c r="G567" s="6">
        <v>0</v>
      </c>
      <c r="H567" s="3">
        <v>0</v>
      </c>
      <c r="I567" s="3">
        <v>0</v>
      </c>
      <c r="J567" s="3">
        <v>0</v>
      </c>
      <c r="K567" s="3">
        <v>0</v>
      </c>
      <c r="L567" s="3">
        <v>0.66799999999999993</v>
      </c>
      <c r="M567" s="3">
        <v>0</v>
      </c>
      <c r="N567" s="3">
        <v>0</v>
      </c>
      <c r="O567" s="4">
        <f t="shared" si="9"/>
        <v>0</v>
      </c>
    </row>
    <row r="568" spans="1:15" x14ac:dyDescent="0.2">
      <c r="A568" t="s">
        <v>633</v>
      </c>
      <c r="B568" t="s">
        <v>634</v>
      </c>
      <c r="C568" t="s">
        <v>14</v>
      </c>
      <c r="D568" t="s">
        <v>651</v>
      </c>
      <c r="E568" s="1"/>
      <c r="F568" s="2"/>
      <c r="G568" s="6">
        <v>0</v>
      </c>
      <c r="H568" s="3"/>
      <c r="I568" s="3"/>
      <c r="J568" s="3"/>
      <c r="K568" s="3"/>
      <c r="L568" s="3"/>
      <c r="M568" s="3"/>
      <c r="N568" s="3"/>
      <c r="O568" s="4" t="str">
        <f t="shared" si="9"/>
        <v/>
      </c>
    </row>
    <row r="569" spans="1:15" x14ac:dyDescent="0.2">
      <c r="A569" t="s">
        <v>633</v>
      </c>
      <c r="B569" t="s">
        <v>634</v>
      </c>
      <c r="C569" t="s">
        <v>13</v>
      </c>
      <c r="D569" t="s">
        <v>634</v>
      </c>
      <c r="E569" s="1">
        <v>3300</v>
      </c>
      <c r="F569" s="2">
        <v>6.7</v>
      </c>
      <c r="G569" s="6">
        <v>0.1797</v>
      </c>
      <c r="H569" s="3"/>
      <c r="I569" s="3"/>
      <c r="J569" s="3"/>
      <c r="K569" s="3"/>
      <c r="L569" s="3"/>
      <c r="M569" s="3"/>
      <c r="N569" s="3"/>
      <c r="O569" s="4">
        <f t="shared" si="9"/>
        <v>2.0303030303030303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12440-2AF2-6842-A40B-279372906BEF}">
  <dimension ref="A1:H33"/>
  <sheetViews>
    <sheetView tabSelected="1" workbookViewId="0">
      <pane ySplit="1" topLeftCell="A4" activePane="bottomLeft" state="frozen"/>
      <selection pane="bottomLeft" activeCell="K17" sqref="K17"/>
    </sheetView>
  </sheetViews>
  <sheetFormatPr baseColWidth="10" defaultRowHeight="16" x14ac:dyDescent="0.2"/>
  <cols>
    <col min="1" max="1" width="8.1640625" bestFit="1" customWidth="1"/>
    <col min="2" max="2" width="22.1640625" bestFit="1" customWidth="1"/>
    <col min="3" max="3" width="15" bestFit="1" customWidth="1"/>
    <col min="4" max="4" width="7.83203125" bestFit="1" customWidth="1"/>
    <col min="5" max="5" width="12" bestFit="1" customWidth="1"/>
    <col min="6" max="6" width="15" bestFit="1" customWidth="1"/>
    <col min="7" max="7" width="12.1640625" bestFit="1" customWidth="1"/>
    <col min="8" max="8" width="11.83203125" bestFit="1" customWidth="1"/>
  </cols>
  <sheetData>
    <row r="1" spans="1:8" x14ac:dyDescent="0.2">
      <c r="A1" t="s">
        <v>61</v>
      </c>
      <c r="B1" t="s">
        <v>62</v>
      </c>
      <c r="C1" t="s">
        <v>1</v>
      </c>
      <c r="D1" t="s">
        <v>2</v>
      </c>
      <c r="E1" t="s">
        <v>20</v>
      </c>
      <c r="F1" t="s">
        <v>21</v>
      </c>
      <c r="G1" t="s">
        <v>22</v>
      </c>
      <c r="H1" t="s">
        <v>23</v>
      </c>
    </row>
    <row r="2" spans="1:8" x14ac:dyDescent="0.2">
      <c r="A2" t="s">
        <v>18</v>
      </c>
      <c r="B2" t="s">
        <v>19</v>
      </c>
      <c r="C2" s="2">
        <v>25.3</v>
      </c>
      <c r="D2" s="2">
        <v>61.7</v>
      </c>
      <c r="E2" s="3">
        <v>0.42599999999999999</v>
      </c>
      <c r="F2" s="3">
        <v>0.39299999999999996</v>
      </c>
      <c r="G2" s="1">
        <v>2800</v>
      </c>
      <c r="H2" s="3">
        <v>6.6000000000000003E-2</v>
      </c>
    </row>
    <row r="3" spans="1:8" x14ac:dyDescent="0.2">
      <c r="A3" t="s">
        <v>39</v>
      </c>
      <c r="B3" t="s">
        <v>40</v>
      </c>
      <c r="C3" s="2">
        <v>22.3</v>
      </c>
      <c r="D3" s="2">
        <v>60</v>
      </c>
      <c r="E3" s="3">
        <v>0.42799999999999999</v>
      </c>
      <c r="F3" s="3">
        <v>0.35299999999999998</v>
      </c>
      <c r="G3" s="1">
        <v>2500</v>
      </c>
      <c r="H3" s="3">
        <v>6.6000000000000003E-2</v>
      </c>
    </row>
    <row r="4" spans="1:8" x14ac:dyDescent="0.2">
      <c r="A4" t="s">
        <v>69</v>
      </c>
      <c r="B4" t="s">
        <v>0</v>
      </c>
      <c r="C4" s="2">
        <v>19.3</v>
      </c>
      <c r="D4" s="2">
        <v>60.6</v>
      </c>
      <c r="E4" s="3">
        <v>0.40100000000000002</v>
      </c>
      <c r="F4" s="3">
        <v>0.42799999999999999</v>
      </c>
      <c r="G4" s="1">
        <v>2300</v>
      </c>
      <c r="H4" s="3">
        <v>6.6000000000000003E-2</v>
      </c>
    </row>
    <row r="5" spans="1:8" x14ac:dyDescent="0.2">
      <c r="A5" t="s">
        <v>88</v>
      </c>
      <c r="B5" t="s">
        <v>15</v>
      </c>
      <c r="C5" s="2">
        <v>25.3</v>
      </c>
      <c r="D5" s="2">
        <v>61.2</v>
      </c>
      <c r="E5" s="3">
        <v>0.42100000000000004</v>
      </c>
      <c r="F5" s="3">
        <v>0.38900000000000001</v>
      </c>
      <c r="G5" s="1">
        <v>3200</v>
      </c>
      <c r="H5" s="3">
        <v>6.6000000000000003E-2</v>
      </c>
    </row>
    <row r="6" spans="1:8" x14ac:dyDescent="0.2">
      <c r="A6" t="s">
        <v>107</v>
      </c>
      <c r="B6" t="s">
        <v>108</v>
      </c>
      <c r="C6" s="2">
        <v>22.5</v>
      </c>
      <c r="D6" s="2">
        <v>60.2</v>
      </c>
      <c r="E6" s="3">
        <v>0.442</v>
      </c>
      <c r="F6" s="3">
        <v>0.39399999999999996</v>
      </c>
      <c r="G6" s="1">
        <v>3000</v>
      </c>
      <c r="H6" s="3">
        <v>6.6000000000000003E-2</v>
      </c>
    </row>
    <row r="7" spans="1:8" x14ac:dyDescent="0.2">
      <c r="A7" t="s">
        <v>127</v>
      </c>
      <c r="B7" t="s">
        <v>128</v>
      </c>
      <c r="C7" s="2">
        <v>24</v>
      </c>
      <c r="D7" s="2">
        <v>59.8</v>
      </c>
      <c r="E7" s="3">
        <v>0.40100000000000002</v>
      </c>
      <c r="F7" s="3">
        <v>0.40600000000000003</v>
      </c>
      <c r="G7" s="1">
        <v>2800</v>
      </c>
      <c r="H7" s="3">
        <v>6.6000000000000003E-2</v>
      </c>
    </row>
    <row r="8" spans="1:8" x14ac:dyDescent="0.2">
      <c r="A8" t="s">
        <v>147</v>
      </c>
      <c r="B8" t="s">
        <v>148</v>
      </c>
      <c r="C8" s="2">
        <v>18.8</v>
      </c>
      <c r="D8" s="2">
        <v>59.9</v>
      </c>
      <c r="E8" s="3">
        <v>0.41399999999999998</v>
      </c>
      <c r="F8" s="3">
        <v>0.38400000000000001</v>
      </c>
      <c r="G8" s="1">
        <v>2700</v>
      </c>
      <c r="H8" s="3">
        <v>6.6000000000000003E-2</v>
      </c>
    </row>
    <row r="9" spans="1:8" x14ac:dyDescent="0.2">
      <c r="A9" t="s">
        <v>166</v>
      </c>
      <c r="B9" t="s">
        <v>167</v>
      </c>
      <c r="C9" s="2">
        <v>21.8</v>
      </c>
      <c r="D9" s="2">
        <v>59.4</v>
      </c>
      <c r="E9" s="3">
        <v>0.40799999999999997</v>
      </c>
      <c r="F9" s="3">
        <v>0.34200000000000003</v>
      </c>
      <c r="G9" s="1">
        <v>2900</v>
      </c>
      <c r="H9" s="3">
        <v>6.6000000000000003E-2</v>
      </c>
    </row>
    <row r="10" spans="1:8" x14ac:dyDescent="0.2">
      <c r="A10" t="s">
        <v>184</v>
      </c>
      <c r="B10" t="s">
        <v>16</v>
      </c>
      <c r="C10" s="2">
        <v>19</v>
      </c>
      <c r="D10" s="2">
        <v>60.9</v>
      </c>
      <c r="E10" s="3">
        <v>0.38799999999999996</v>
      </c>
      <c r="F10" s="3">
        <v>0.33799999999999997</v>
      </c>
      <c r="G10" s="1">
        <v>2000</v>
      </c>
      <c r="H10" s="3">
        <v>6.6000000000000003E-2</v>
      </c>
    </row>
    <row r="11" spans="1:8" x14ac:dyDescent="0.2">
      <c r="A11" t="s">
        <v>203</v>
      </c>
      <c r="B11" t="s">
        <v>17</v>
      </c>
      <c r="C11" s="2">
        <v>28.5</v>
      </c>
      <c r="D11" s="2">
        <v>61.3</v>
      </c>
      <c r="E11" s="3">
        <v>0.39</v>
      </c>
      <c r="F11" s="3">
        <v>0.35299999999999998</v>
      </c>
      <c r="G11" s="1">
        <v>3500</v>
      </c>
      <c r="H11" s="3">
        <v>6.6000000000000003E-2</v>
      </c>
    </row>
    <row r="12" spans="1:8" x14ac:dyDescent="0.2">
      <c r="A12" t="s">
        <v>220</v>
      </c>
      <c r="B12" t="s">
        <v>221</v>
      </c>
      <c r="C12" s="2">
        <v>18.5</v>
      </c>
      <c r="D12" s="2">
        <v>60</v>
      </c>
      <c r="E12" s="3">
        <v>0.41799999999999998</v>
      </c>
      <c r="F12" s="3">
        <v>0.39500000000000002</v>
      </c>
      <c r="G12" s="1">
        <v>2500</v>
      </c>
      <c r="H12" s="3">
        <v>6.6000000000000003E-2</v>
      </c>
    </row>
    <row r="13" spans="1:8" x14ac:dyDescent="0.2">
      <c r="A13" t="s">
        <v>239</v>
      </c>
      <c r="B13" t="s">
        <v>240</v>
      </c>
      <c r="C13" s="2">
        <v>20</v>
      </c>
      <c r="D13" s="2">
        <v>60.1</v>
      </c>
      <c r="E13" s="3">
        <v>0.42899999999999999</v>
      </c>
      <c r="F13" s="3">
        <v>0.38400000000000001</v>
      </c>
      <c r="G13" s="1">
        <v>3100</v>
      </c>
      <c r="H13" s="3">
        <v>6.6000000000000003E-2</v>
      </c>
    </row>
    <row r="14" spans="1:8" x14ac:dyDescent="0.2">
      <c r="A14" t="s">
        <v>257</v>
      </c>
      <c r="B14" t="s">
        <v>258</v>
      </c>
      <c r="C14" s="2">
        <v>17.8</v>
      </c>
      <c r="D14" s="2">
        <v>61.4</v>
      </c>
      <c r="E14" s="3">
        <v>0.41799999999999998</v>
      </c>
      <c r="F14" s="3">
        <v>0.41299999999999998</v>
      </c>
      <c r="G14" s="1">
        <v>2600</v>
      </c>
      <c r="H14" s="3">
        <v>6.6000000000000003E-2</v>
      </c>
    </row>
    <row r="15" spans="1:8" x14ac:dyDescent="0.2">
      <c r="A15" t="s">
        <v>274</v>
      </c>
      <c r="B15" t="s">
        <v>275</v>
      </c>
      <c r="C15" s="2">
        <v>23.8</v>
      </c>
      <c r="D15" s="2">
        <v>60.3</v>
      </c>
      <c r="E15" s="3">
        <v>0.40799999999999997</v>
      </c>
      <c r="F15" s="3">
        <v>0.38400000000000001</v>
      </c>
      <c r="G15" s="1">
        <v>3300</v>
      </c>
      <c r="H15" s="3">
        <v>6.6000000000000003E-2</v>
      </c>
    </row>
    <row r="16" spans="1:8" x14ac:dyDescent="0.2">
      <c r="A16" t="s">
        <v>294</v>
      </c>
      <c r="B16" t="s">
        <v>295</v>
      </c>
      <c r="C16" s="2">
        <v>15.5</v>
      </c>
      <c r="D16" s="2">
        <v>62</v>
      </c>
      <c r="E16" s="3">
        <v>0.40399999999999997</v>
      </c>
      <c r="F16" s="3">
        <v>0.38600000000000001</v>
      </c>
      <c r="G16" s="1">
        <v>2100</v>
      </c>
      <c r="H16" s="3">
        <v>6.6000000000000003E-2</v>
      </c>
    </row>
    <row r="17" spans="1:8" x14ac:dyDescent="0.2">
      <c r="A17" t="s">
        <v>314</v>
      </c>
      <c r="B17" t="s">
        <v>315</v>
      </c>
      <c r="C17" s="2">
        <v>24</v>
      </c>
      <c r="D17" s="2">
        <v>60.8</v>
      </c>
      <c r="E17" s="3">
        <v>0.4</v>
      </c>
      <c r="F17" s="3">
        <v>0.40399999999999997</v>
      </c>
      <c r="G17" s="1">
        <v>3400</v>
      </c>
      <c r="H17" s="3">
        <v>6.6000000000000003E-2</v>
      </c>
    </row>
    <row r="18" spans="1:8" x14ac:dyDescent="0.2">
      <c r="A18" t="s">
        <v>333</v>
      </c>
      <c r="B18" t="s">
        <v>334</v>
      </c>
      <c r="C18" s="2">
        <v>25.5</v>
      </c>
      <c r="D18" s="2">
        <v>60.5</v>
      </c>
      <c r="E18" s="3">
        <v>0.42700000000000005</v>
      </c>
      <c r="F18" s="3">
        <v>0.42799999999999999</v>
      </c>
      <c r="G18" s="1">
        <v>3000</v>
      </c>
      <c r="H18" s="3">
        <v>6.6000000000000003E-2</v>
      </c>
    </row>
    <row r="19" spans="1:8" x14ac:dyDescent="0.2">
      <c r="A19" t="s">
        <v>352</v>
      </c>
      <c r="B19" t="s">
        <v>353</v>
      </c>
      <c r="C19" s="2">
        <v>22</v>
      </c>
      <c r="D19" s="2">
        <v>60.8</v>
      </c>
      <c r="E19" s="3">
        <v>0.40399999999999997</v>
      </c>
      <c r="F19" s="3">
        <v>0.439</v>
      </c>
      <c r="G19" s="1">
        <v>2400</v>
      </c>
      <c r="H19" s="3">
        <v>6.6000000000000003E-2</v>
      </c>
    </row>
    <row r="20" spans="1:8" x14ac:dyDescent="0.2">
      <c r="A20" t="s">
        <v>368</v>
      </c>
      <c r="B20" t="s">
        <v>369</v>
      </c>
      <c r="C20" s="2">
        <v>23</v>
      </c>
      <c r="D20" s="2">
        <v>60.9</v>
      </c>
      <c r="E20" s="3">
        <v>0.41299999999999998</v>
      </c>
      <c r="F20" s="3">
        <v>0.43799999999999994</v>
      </c>
      <c r="G20" s="1">
        <v>3100</v>
      </c>
      <c r="H20" s="3">
        <v>6.6000000000000003E-2</v>
      </c>
    </row>
    <row r="21" spans="1:8" x14ac:dyDescent="0.2">
      <c r="A21" t="s">
        <v>385</v>
      </c>
      <c r="B21" t="s">
        <v>386</v>
      </c>
      <c r="C21" s="2">
        <v>21.5</v>
      </c>
      <c r="D21" s="2">
        <v>61</v>
      </c>
      <c r="E21" s="3">
        <v>0.4</v>
      </c>
      <c r="F21" s="3">
        <v>0.35299999999999998</v>
      </c>
      <c r="G21" s="1">
        <v>2900</v>
      </c>
      <c r="H21" s="3">
        <v>6.6000000000000003E-2</v>
      </c>
    </row>
    <row r="22" spans="1:8" x14ac:dyDescent="0.2">
      <c r="A22" t="s">
        <v>403</v>
      </c>
      <c r="B22" t="s">
        <v>404</v>
      </c>
      <c r="C22" s="2">
        <v>21.3</v>
      </c>
      <c r="D22" s="2">
        <v>61.2</v>
      </c>
      <c r="E22" s="3">
        <v>0.39600000000000002</v>
      </c>
      <c r="F22" s="3">
        <v>0.36899999999999999</v>
      </c>
      <c r="G22" s="1">
        <v>2200</v>
      </c>
      <c r="H22" s="3">
        <v>6.6000000000000003E-2</v>
      </c>
    </row>
    <row r="23" spans="1:8" x14ac:dyDescent="0.2">
      <c r="A23" t="s">
        <v>421</v>
      </c>
      <c r="B23" t="s">
        <v>422</v>
      </c>
      <c r="C23" s="2">
        <v>28.3</v>
      </c>
      <c r="D23" s="2">
        <v>61.9</v>
      </c>
      <c r="E23" s="3">
        <v>0.42599999999999999</v>
      </c>
      <c r="F23" s="3">
        <v>0.38100000000000001</v>
      </c>
      <c r="G23" s="1">
        <v>3200</v>
      </c>
      <c r="H23" s="3">
        <v>6.6000000000000003E-2</v>
      </c>
    </row>
    <row r="24" spans="1:8" x14ac:dyDescent="0.2">
      <c r="A24" t="s">
        <v>59</v>
      </c>
      <c r="B24" t="s">
        <v>60</v>
      </c>
      <c r="C24" s="2">
        <v>23.5</v>
      </c>
      <c r="D24" s="2">
        <v>61.4</v>
      </c>
      <c r="E24" s="3">
        <v>0.41299999999999998</v>
      </c>
      <c r="F24" s="3">
        <v>0.36899999999999999</v>
      </c>
      <c r="G24" s="1">
        <v>2600</v>
      </c>
      <c r="H24" s="3">
        <v>6.6000000000000003E-2</v>
      </c>
    </row>
    <row r="25" spans="1:8" x14ac:dyDescent="0.2">
      <c r="A25" t="s">
        <v>453</v>
      </c>
      <c r="B25" t="s">
        <v>454</v>
      </c>
      <c r="C25" s="2">
        <v>27</v>
      </c>
      <c r="D25" s="2">
        <v>61</v>
      </c>
      <c r="E25" s="3">
        <v>0.35</v>
      </c>
      <c r="F25" s="3">
        <v>0.33</v>
      </c>
      <c r="G25" s="1">
        <v>2700</v>
      </c>
      <c r="H25" s="3">
        <v>6.6000000000000003E-2</v>
      </c>
    </row>
    <row r="26" spans="1:8" x14ac:dyDescent="0.2">
      <c r="A26" t="s">
        <v>497</v>
      </c>
      <c r="B26" t="s">
        <v>498</v>
      </c>
      <c r="C26" s="2"/>
      <c r="D26" s="2"/>
      <c r="E26" s="3"/>
      <c r="F26" s="3"/>
      <c r="G26" s="1">
        <v>2900</v>
      </c>
      <c r="H26" s="3"/>
    </row>
    <row r="27" spans="1:8" x14ac:dyDescent="0.2">
      <c r="A27" t="s">
        <v>517</v>
      </c>
      <c r="B27" t="s">
        <v>518</v>
      </c>
      <c r="C27" s="2"/>
      <c r="D27" s="2"/>
      <c r="E27" s="3"/>
      <c r="F27" s="3"/>
      <c r="G27" s="1">
        <v>2700</v>
      </c>
      <c r="H27" s="3"/>
    </row>
    <row r="28" spans="1:8" x14ac:dyDescent="0.2">
      <c r="A28" t="s">
        <v>536</v>
      </c>
      <c r="B28" t="s">
        <v>537</v>
      </c>
      <c r="C28" s="2">
        <v>25.8</v>
      </c>
      <c r="D28" s="2">
        <v>62.2</v>
      </c>
      <c r="E28" s="3">
        <v>0.39900000000000002</v>
      </c>
      <c r="F28" s="3">
        <v>0.379</v>
      </c>
      <c r="G28" s="1">
        <v>2800</v>
      </c>
      <c r="H28" s="3">
        <v>6.6000000000000003E-2</v>
      </c>
    </row>
    <row r="29" spans="1:8" x14ac:dyDescent="0.2">
      <c r="A29" t="s">
        <v>554</v>
      </c>
      <c r="B29" t="s">
        <v>555</v>
      </c>
      <c r="C29" s="2">
        <v>22.8</v>
      </c>
      <c r="D29" s="2">
        <v>61.2</v>
      </c>
      <c r="E29" s="3">
        <v>0.41799999999999998</v>
      </c>
      <c r="F29" s="3">
        <v>0.43</v>
      </c>
      <c r="G29" s="1">
        <v>2400</v>
      </c>
      <c r="H29" s="3">
        <v>6.6000000000000003E-2</v>
      </c>
    </row>
    <row r="30" spans="1:8" x14ac:dyDescent="0.2">
      <c r="A30" t="s">
        <v>572</v>
      </c>
      <c r="B30" t="s">
        <v>573</v>
      </c>
      <c r="C30" s="2">
        <v>22.5</v>
      </c>
      <c r="D30" s="2">
        <v>60.9</v>
      </c>
      <c r="E30" s="3">
        <v>0.41</v>
      </c>
      <c r="F30" s="3">
        <v>0.35899999999999999</v>
      </c>
      <c r="G30" s="1">
        <v>2300</v>
      </c>
      <c r="H30" s="3">
        <v>6.6000000000000003E-2</v>
      </c>
    </row>
    <row r="31" spans="1:8" x14ac:dyDescent="0.2">
      <c r="A31" t="s">
        <v>592</v>
      </c>
      <c r="B31" t="s">
        <v>593</v>
      </c>
      <c r="C31" s="2">
        <v>26</v>
      </c>
      <c r="D31" s="2">
        <v>61</v>
      </c>
      <c r="E31" s="3">
        <v>0.40300000000000002</v>
      </c>
      <c r="F31" s="3">
        <v>0.33500000000000002</v>
      </c>
      <c r="G31" s="1">
        <v>3000</v>
      </c>
      <c r="H31" s="3">
        <v>6.6000000000000003E-2</v>
      </c>
    </row>
    <row r="32" spans="1:8" x14ac:dyDescent="0.2">
      <c r="A32" t="s">
        <v>613</v>
      </c>
      <c r="B32" t="s">
        <v>614</v>
      </c>
      <c r="C32" s="2">
        <v>20.5</v>
      </c>
      <c r="D32" s="2">
        <v>60.6</v>
      </c>
      <c r="E32" s="3">
        <v>0.39900000000000002</v>
      </c>
      <c r="F32" s="3">
        <v>0.39800000000000002</v>
      </c>
      <c r="G32" s="1">
        <v>2600</v>
      </c>
      <c r="H32" s="3">
        <v>6.6000000000000003E-2</v>
      </c>
    </row>
    <row r="33" spans="1:8" x14ac:dyDescent="0.2">
      <c r="A33" t="s">
        <v>633</v>
      </c>
      <c r="B33" t="s">
        <v>634</v>
      </c>
      <c r="C33" s="2">
        <v>24</v>
      </c>
      <c r="D33" s="2">
        <v>59.7</v>
      </c>
      <c r="E33" s="3">
        <v>0.41</v>
      </c>
      <c r="F33" s="3">
        <v>0.40200000000000002</v>
      </c>
      <c r="G33" s="1">
        <v>3300</v>
      </c>
      <c r="H33" s="3">
        <v>6.6000000000000003E-2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07CC8-42BB-6247-81DA-EEF115585567}">
  <dimension ref="A1:K3"/>
  <sheetViews>
    <sheetView workbookViewId="0"/>
  </sheetViews>
  <sheetFormatPr baseColWidth="10" defaultRowHeight="16" x14ac:dyDescent="0.2"/>
  <cols>
    <col min="1" max="1" width="14.5" bestFit="1" customWidth="1"/>
    <col min="2" max="2" width="39.5" bestFit="1" customWidth="1"/>
    <col min="3" max="3" width="38.5" bestFit="1" customWidth="1"/>
    <col min="4" max="4" width="35.6640625" bestFit="1" customWidth="1"/>
    <col min="5" max="5" width="59.33203125" bestFit="1" customWidth="1"/>
    <col min="6" max="6" width="11" bestFit="1" customWidth="1"/>
    <col min="7" max="7" width="56.83203125" bestFit="1" customWidth="1"/>
    <col min="8" max="8" width="12.1640625" bestFit="1" customWidth="1"/>
    <col min="9" max="9" width="9.6640625" bestFit="1" customWidth="1"/>
    <col min="10" max="10" width="124.33203125" bestFit="1" customWidth="1"/>
    <col min="11" max="11" width="38.83203125" bestFit="1" customWidth="1"/>
  </cols>
  <sheetData>
    <row r="1" spans="1:11" x14ac:dyDescent="0.2">
      <c r="A1" s="5" t="s">
        <v>472</v>
      </c>
      <c r="B1" s="5" t="s">
        <v>473</v>
      </c>
      <c r="C1" s="5" t="s">
        <v>474</v>
      </c>
      <c r="D1" s="5" t="s">
        <v>475</v>
      </c>
      <c r="E1" s="5" t="s">
        <v>476</v>
      </c>
      <c r="F1" s="5" t="s">
        <v>477</v>
      </c>
      <c r="G1" s="5" t="s">
        <v>478</v>
      </c>
      <c r="H1" s="5" t="s">
        <v>479</v>
      </c>
      <c r="I1" s="5" t="s">
        <v>480</v>
      </c>
      <c r="J1" s="5" t="s">
        <v>481</v>
      </c>
      <c r="K1" s="5" t="s">
        <v>482</v>
      </c>
    </row>
    <row r="2" spans="1:11" x14ac:dyDescent="0.2">
      <c r="A2" t="s">
        <v>483</v>
      </c>
      <c r="B2" t="s">
        <v>484</v>
      </c>
      <c r="C2" t="s">
        <v>485</v>
      </c>
      <c r="D2" t="s">
        <v>486</v>
      </c>
      <c r="E2" t="s">
        <v>487</v>
      </c>
      <c r="F2" t="s">
        <v>488</v>
      </c>
      <c r="G2" t="s">
        <v>489</v>
      </c>
      <c r="I2">
        <v>421</v>
      </c>
      <c r="J2" t="s">
        <v>496</v>
      </c>
      <c r="K2" t="s">
        <v>490</v>
      </c>
    </row>
    <row r="3" spans="1:11" x14ac:dyDescent="0.2">
      <c r="A3" t="s">
        <v>491</v>
      </c>
      <c r="B3" t="s">
        <v>484</v>
      </c>
      <c r="C3" t="s">
        <v>492</v>
      </c>
      <c r="D3" t="s">
        <v>486</v>
      </c>
      <c r="E3" t="s">
        <v>493</v>
      </c>
      <c r="F3" t="s">
        <v>488</v>
      </c>
      <c r="G3" t="s">
        <v>489</v>
      </c>
      <c r="I3">
        <v>24</v>
      </c>
      <c r="J3" t="s">
        <v>494</v>
      </c>
      <c r="K3" t="s">
        <v>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Players</vt:lpstr>
      <vt:lpstr>Teams</vt:lpstr>
      <vt:lpstr>Data Sources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Rakestraw</dc:creator>
  <cp:lastModifiedBy>Justin Rakestraw</cp:lastModifiedBy>
  <dcterms:created xsi:type="dcterms:W3CDTF">2026-09-12T17:48:33Z</dcterms:created>
  <dcterms:modified xsi:type="dcterms:W3CDTF">2026-09-12T18:27:08Z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de70179-33db-4fa9-b303-1144f46397a4_Enabled">
    <vt:lpwstr>true</vt:lpwstr>
  </property>
  <property fmtid="{D5CDD505-2E9C-101B-9397-08002B2CF9AE}" pid="3" name="MSIP_Label_dde70179-33db-4fa9-b303-1144f46397a4_SetDate">
    <vt:lpwstr>2026-09-12T17:59:20Z</vt:lpwstr>
  </property>
  <property fmtid="{D5CDD505-2E9C-101B-9397-08002B2CF9AE}" pid="4" name="MSIP_Label_dde70179-33db-4fa9-b303-1144f46397a4_Method">
    <vt:lpwstr>Standard</vt:lpwstr>
  </property>
  <property fmtid="{D5CDD505-2E9C-101B-9397-08002B2CF9AE}" pid="5" name="MSIP_Label_dde70179-33db-4fa9-b303-1144f46397a4_Name">
    <vt:lpwstr>General</vt:lpwstr>
  </property>
  <property fmtid="{D5CDD505-2E9C-101B-9397-08002B2CF9AE}" pid="6" name="MSIP_Label_dde70179-33db-4fa9-b303-1144f46397a4_SiteId">
    <vt:lpwstr>1758f8fe-c8a6-4f95-bb8f-7b76c09c8958</vt:lpwstr>
  </property>
  <property fmtid="{D5CDD505-2E9C-101B-9397-08002B2CF9AE}" pid="7" name="MSIP_Label_dde70179-33db-4fa9-b303-1144f46397a4_ActionId">
    <vt:lpwstr>f5d9b2de-003b-4bcb-aa01-c3c31db6429d</vt:lpwstr>
  </property>
  <property fmtid="{D5CDD505-2E9C-101B-9397-08002B2CF9AE}" pid="8" name="MSIP_Label_dde70179-33db-4fa9-b303-1144f46397a4_ContentBits">
    <vt:lpwstr>0</vt:lpwstr>
  </property>
  <property fmtid="{D5CDD505-2E9C-101B-9397-08002B2CF9AE}" pid="9" name="MSIP_Label_dde70179-33db-4fa9-b303-1144f46397a4_Tag">
    <vt:lpwstr>50, 3, 0, 1</vt:lpwstr>
  </property>
</Properties>
</file>